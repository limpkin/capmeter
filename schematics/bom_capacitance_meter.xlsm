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mpkin\Dropbox\Projets\capacitance_meter\"/>
    </mc:Choice>
  </mc:AlternateContent>
  <bookViews>
    <workbookView xWindow="240" yWindow="90" windowWidth="23250" windowHeight="13170"/>
  </bookViews>
  <sheets>
    <sheet name="BoM" sheetId="1" r:id="rId1"/>
    <sheet name="Feuil2" sheetId="2" r:id="rId2"/>
    <sheet name="Feuil3" sheetId="3" r:id="rId3"/>
  </sheets>
  <calcPr calcId="152511"/>
</workbook>
</file>

<file path=xl/calcChain.xml><?xml version="1.0" encoding="utf-8"?>
<calcChain xmlns="http://schemas.openxmlformats.org/spreadsheetml/2006/main">
  <c r="F63" i="1" l="1"/>
  <c r="D63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<sst xmlns="http://schemas.openxmlformats.org/spreadsheetml/2006/main" count="438" uniqueCount="320">
  <si>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</si>
  <si>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</si>
  <si>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</si>
  <si>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</si>
  <si>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</si>
  <si>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</si>
  <si>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</si>
  <si>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</si>
  <si>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Prototype quantity :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</si>
  <si>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</si>
  <si>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</si>
  <si>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</si>
  <si>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</si>
  <si>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</si>
  <si>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</si>
  <si>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</si>
  <si>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Total for 10 prototypes :</t>
  </si>
  <si>
    <t>Home Stock</t>
  </si>
  <si>
    <t>Total Price</t>
  </si>
  <si>
    <t>Digikey Stock</t>
  </si>
  <si>
    <t>Project Bill Of Materials</t>
  </si>
  <si>
    <t>Category</t>
  </si>
  <si>
    <t>Family</t>
  </si>
  <si>
    <t>(Value)</t>
  </si>
  <si>
    <t>http://www.digikey.com/product-detail/en/ADG804YRMZ-REEL7/ADG804YRMZ-REEL7CT-ND/3674772</t>
  </si>
  <si>
    <t>http://www.digikey.com/product-detail/en/OPA365AIDBVR/296-20645-1-ND/1133683</t>
  </si>
  <si>
    <t>http://www.digikey.com/product-detail/en/TPS7A4901DGNR/296-27751-1-ND/2361068</t>
  </si>
  <si>
    <t>http://www.digikey.com/product-detail/en/MAX44284HAUT%2BT/MAX44284HAUT%2BTCT-ND/4967871</t>
  </si>
  <si>
    <t>http://www.digikey.com/product-detail/en/PESD24VU1UT,215/568-4039-1-ND/1530829</t>
  </si>
  <si>
    <t>http://www.digikey.com/product-detail/en/LM4510SD%2FNOPB/LM4510SD%2FNOPBCT-ND/1679844</t>
  </si>
  <si>
    <t>ADG804YRMZ-REEL7</t>
  </si>
  <si>
    <t>IC MULTIPLEXER 4X1 10MSOP</t>
  </si>
  <si>
    <t>Integrated Circuits (ICs)</t>
  </si>
  <si>
    <t>Interface - Analog Switches, Multiplexers, Demultiplexers</t>
  </si>
  <si>
    <t>10-MSOP</t>
  </si>
  <si>
    <t>Texas Instruments</t>
  </si>
  <si>
    <t>OPA365AIDBVR</t>
  </si>
  <si>
    <t>IC OPAMP GP 50MHZ RRO SOT23-5</t>
  </si>
  <si>
    <t>Linear - Amplifiers - Instrumentation, OP Amps, Buffer Amps</t>
  </si>
  <si>
    <t>SOT-23-5</t>
  </si>
  <si>
    <t>http://www.digikey.com/product-detail/en/TS3431CILT/497-4637-1-ND/806501</t>
  </si>
  <si>
    <t>http://www.digikey.com/product-detail/en/ATXMEGA16A4U-MHR/ATXMEGA16A4U-MHRCT-ND/3441033</t>
  </si>
  <si>
    <t>U4</t>
  </si>
  <si>
    <t>U2</t>
  </si>
  <si>
    <t>U5 U8</t>
  </si>
  <si>
    <t>U7</t>
  </si>
  <si>
    <t>U1</t>
  </si>
  <si>
    <t>U3</t>
  </si>
  <si>
    <t>U6</t>
  </si>
  <si>
    <t>http://www.digikey.com/product-detail/en/10118194-0001LF/609-4618-1-ND/2785382</t>
  </si>
  <si>
    <t>CON1</t>
  </si>
  <si>
    <t>X1</t>
  </si>
  <si>
    <t>http://www.digikey.com/product-detail/en/CM315D32768EZFT/300-8816-1-ND/3641389</t>
  </si>
  <si>
    <t>http://www.digikey.com/product-detail/en/CL31A106KAHNNNE/1276-1075-1-ND/3889161</t>
  </si>
  <si>
    <t>http://www.digikey.com/product-detail/en/CL21A106KOQNNNE/1276-1096-1-ND/3889182</t>
  </si>
  <si>
    <t>http://www.digikey.com/product-detail/en/NR6028T4R7M/587-2100-1-ND/1866240</t>
  </si>
  <si>
    <t>12.5pF</t>
  </si>
  <si>
    <t>10µF</t>
  </si>
  <si>
    <t>http://www.digikey.com/product-detail/en/RUM001L02T2CL/RUM001L02T2CLCT-ND/4571412</t>
  </si>
  <si>
    <t>TPS7A4901DGNR</t>
  </si>
  <si>
    <t>IC REG LDO ADJ 0.15A 8MSOP</t>
  </si>
  <si>
    <t>8-MSOP-PowerPad</t>
  </si>
  <si>
    <t>Maxim Integrated</t>
  </si>
  <si>
    <t>MAX44284HAUT+T</t>
  </si>
  <si>
    <t>IC OPAMP LOW POWER SOT23-6</t>
  </si>
  <si>
    <t>SOT-23-6</t>
  </si>
  <si>
    <t>NXP Semiconductors</t>
  </si>
  <si>
    <t>PESD24VU1UT,215</t>
  </si>
  <si>
    <t>TVS DIODE 24VWM 76VC SOT23</t>
  </si>
  <si>
    <t>Circuit Protection</t>
  </si>
  <si>
    <t>TVS - Diodes</t>
  </si>
  <si>
    <t>SOT-23 (TO-236AB)</t>
  </si>
  <si>
    <t>LM4510SD/NOPB</t>
  </si>
  <si>
    <t>PMIC - Voltage Regulators - DC DC Switching Regulators</t>
  </si>
  <si>
    <t>10-SON (3x3)</t>
  </si>
  <si>
    <t>STMicroelectronics</t>
  </si>
  <si>
    <t>TS3431CILT</t>
  </si>
  <si>
    <t>IC VREF SHUNT ADJ SOT23-3</t>
  </si>
  <si>
    <t>PMIC - Voltage Reference</t>
  </si>
  <si>
    <t>SOT-23-3</t>
  </si>
  <si>
    <t>Atmel</t>
  </si>
  <si>
    <t>ATXMEGA16A4U-MHR</t>
  </si>
  <si>
    <t>IC MCU 8BIT 16KB FLASH 44VQFN</t>
  </si>
  <si>
    <t>Embedded - Microcontrollers</t>
  </si>
  <si>
    <t>44-VQFN (7x7)</t>
  </si>
  <si>
    <t>FCI</t>
  </si>
  <si>
    <t>10118194-0001LF</t>
  </si>
  <si>
    <t>Connectors, Interconnects</t>
  </si>
  <si>
    <t>USB, DVI, HDMI Connectors</t>
  </si>
  <si>
    <t>Rohm Semiconductor</t>
  </si>
  <si>
    <t>RUM001L02T2CL</t>
  </si>
  <si>
    <t>MOSFET N-CH 20V 0.1A VMT3</t>
  </si>
  <si>
    <t>Discrete Semiconductor Products</t>
  </si>
  <si>
    <t>FETs - Single</t>
  </si>
  <si>
    <t>VMT3</t>
  </si>
  <si>
    <t>CM315D32768EZFT</t>
  </si>
  <si>
    <t>Crystals and Oscillators</t>
  </si>
  <si>
    <t>Crystals</t>
  </si>
  <si>
    <t>1206 (3216 Metric)</t>
  </si>
  <si>
    <t>CL31A106KAHNNNE</t>
  </si>
  <si>
    <t>Capacitors</t>
  </si>
  <si>
    <t>Ceramic Capacitors</t>
  </si>
  <si>
    <t>CL21A106KOQNNNE</t>
  </si>
  <si>
    <t>0805 (2012 Metric)</t>
  </si>
  <si>
    <t>Taiyo Yuden</t>
  </si>
  <si>
    <t>NR6028T4R7M</t>
  </si>
  <si>
    <t>FIXED IND 4.7UH 3A 40.3 MOHM SMD</t>
  </si>
  <si>
    <t>Inductors, Coils, Chokes</t>
  </si>
  <si>
    <t>Fixed Inductors</t>
  </si>
  <si>
    <t>4.7µH</t>
  </si>
  <si>
    <t>-</t>
  </si>
  <si>
    <t>Susumu</t>
  </si>
  <si>
    <t>Resistors</t>
  </si>
  <si>
    <t>Chip Resistor - Surface Mount</t>
  </si>
  <si>
    <t>1k</t>
  </si>
  <si>
    <t>U10</t>
  </si>
  <si>
    <t>http://www.digikey.com/product-detail/en/IP4234CZ6,125/568-5869-1-ND/2531156</t>
  </si>
  <si>
    <t>U9</t>
  </si>
  <si>
    <t>C10 C11 C20 C22 C23</t>
  </si>
  <si>
    <t>L1</t>
  </si>
  <si>
    <t>R13</t>
  </si>
  <si>
    <t>IP4234CZ6,125</t>
  </si>
  <si>
    <t>TVS DIODE 5.5VWM 6TSOP</t>
  </si>
  <si>
    <t>6-TSOP</t>
  </si>
  <si>
    <t>D2 D4</t>
  </si>
  <si>
    <t>http://www.digikey.com/product-detail/en/CAT102TDI-GT3/CAT102TDI-GT3OSCT-ND/3487509</t>
  </si>
  <si>
    <t>ON Semiconductor</t>
  </si>
  <si>
    <t>CAT102TDI-GT3</t>
  </si>
  <si>
    <t>IC VREF SHUNT ADJ TSOT23-5</t>
  </si>
  <si>
    <t>TSOT-23-5</t>
  </si>
  <si>
    <t>http://www.digikey.com/product-detail/en/BU-31607-2/314-1218-ND/2688311</t>
  </si>
  <si>
    <t>http://www.digikey.com/product-detail/en/BU-31607-0/314-1217-ND/2688310</t>
  </si>
  <si>
    <t>Mueller Electric Co</t>
  </si>
  <si>
    <t>BU-31607-2</t>
  </si>
  <si>
    <t>SOCKET SCREW-IN SAFETY RED</t>
  </si>
  <si>
    <t>Banana and Tip Connectors - Jacks, Plugs</t>
  </si>
  <si>
    <t>BU-31607-0</t>
  </si>
  <si>
    <t>SOCKET SCREW-IN SAFETY BLACK</t>
  </si>
  <si>
    <t>http://www.digikey.com/product-detail/en/CL10B104KB8NNNC/1276-1000-1-ND/3889086</t>
  </si>
  <si>
    <t>C7</t>
  </si>
  <si>
    <t>C21</t>
  </si>
  <si>
    <t>http://www.digikey.com/product-detail/en/CL10C101JB8NNNC/1276-1008-1-ND/3889094</t>
  </si>
  <si>
    <t>C9</t>
  </si>
  <si>
    <t>http://www.digikey.com/product-detail/en/CL10B222KB8SFNC/1276-1992-1-ND/3890078</t>
  </si>
  <si>
    <t>C26</t>
  </si>
  <si>
    <t>http://www.digikey.com/product-detail/en/CL10B472KB8SFNC/1276-2066-1-ND/3890152</t>
  </si>
  <si>
    <t>C4 C16 C17 C29 C30</t>
  </si>
  <si>
    <t>http://www.digikey.com/product-detail/en/CL10B103KB8NCNC/1276-1921-1-ND/3890007</t>
  </si>
  <si>
    <t>C6 C28 C33</t>
  </si>
  <si>
    <t>http://www.digikey.com/product-detail/en/CL10B105KP8NNNC/1276-1946-1-ND/3890032</t>
  </si>
  <si>
    <t>FB1</t>
  </si>
  <si>
    <t>http://www.digikey.com/product-detail/en/MPZ1608S221ATA00/445-1565-1-ND/571895</t>
  </si>
  <si>
    <t>R20</t>
  </si>
  <si>
    <t>http://www.digikey.com/product-detail/en/ERJ-3GEY0R00V/P0.0GCT-ND/134711</t>
  </si>
  <si>
    <t>http://www.digikey.com/product-detail/en/RC0603FR-07100RL/311-100HRCT-ND/729835</t>
  </si>
  <si>
    <t>http://www.digikey.com/product-detail/en/ERJ-3EKF1201V/P1.20KHCT-ND/1746727</t>
  </si>
  <si>
    <t>http://www.digikey.com/product-detail/en/RC0603FR-0710KL/311-10.0KHRCT-ND/729827</t>
  </si>
  <si>
    <t>R15</t>
  </si>
  <si>
    <t>http://www.digikey.com/product-detail/en/RG1608P-103-B-T5/RG16P10.0KBCT-ND/1240835</t>
  </si>
  <si>
    <t>http://www.digikey.com/product-detail/en/RC0603FR-0715KL/311-15.0KHRCT-ND/729900</t>
  </si>
  <si>
    <t>http://www.digikey.com/product-detail/en/RC0603FR-0720K5L/311-20.5KHRCT-ND/729989</t>
  </si>
  <si>
    <t>http://www.digikey.com/product-detail/en/ERJ-3EKF4642V/P46.4KHCT-ND/198400</t>
  </si>
  <si>
    <t>R16</t>
  </si>
  <si>
    <t>http://www.digikey.com/product-detail/en/RG1608P-104-B-T5/RG16P100KBCT-ND/1240836</t>
  </si>
  <si>
    <t>R7</t>
  </si>
  <si>
    <t>http://www.digikey.com/product-detail/en/ERJ-3EKF2553V/P255KHCT-ND/198279</t>
  </si>
  <si>
    <t>R24</t>
  </si>
  <si>
    <t>http://www.digikey.com/product-detail/en/ERJ-3GEYJ105V/P1.0MGCT-ND/134885</t>
  </si>
  <si>
    <t>http://www.digikey.com/product-detail/en/ERJ-3EKF2151V/P2.15KHCT-ND/198222</t>
  </si>
  <si>
    <t>0603 (1608 Metric)</t>
  </si>
  <si>
    <t>CL10B104KB8NNNC</t>
  </si>
  <si>
    <t>0.1µF</t>
  </si>
  <si>
    <t>CL10C101JB8NNNC</t>
  </si>
  <si>
    <t>100pF</t>
  </si>
  <si>
    <t>CL10B222KB8SFNC</t>
  </si>
  <si>
    <t>2200pF</t>
  </si>
  <si>
    <t>CL10B472KB8SFNC</t>
  </si>
  <si>
    <t>4700pF</t>
  </si>
  <si>
    <t>CL10B103KB8NCNC</t>
  </si>
  <si>
    <t>10000pF</t>
  </si>
  <si>
    <t>CL10B105KP8NNNC</t>
  </si>
  <si>
    <t>1µF</t>
  </si>
  <si>
    <t>TDK Corporation</t>
  </si>
  <si>
    <t>MPZ1608S221ATA00</t>
  </si>
  <si>
    <t>FERRITE CHIP 220 OHM 2A 0603</t>
  </si>
  <si>
    <t>Filters</t>
  </si>
  <si>
    <t>Ferrite Beads and Chips</t>
  </si>
  <si>
    <t>Panasonic Electronic Components</t>
  </si>
  <si>
    <t>ERJ-3GEY0R00V</t>
  </si>
  <si>
    <t>Yageo</t>
  </si>
  <si>
    <t>RC0603FR-07100RL</t>
  </si>
  <si>
    <t>RES SMD 100 OHM 1% 1/10W 0603</t>
  </si>
  <si>
    <t>ERJ-3EKF1201V</t>
  </si>
  <si>
    <t>RES SMD 1.2K OHM 1% 1/10W 0603</t>
  </si>
  <si>
    <t>1.2k</t>
  </si>
  <si>
    <t>RC0603FR-0710KL</t>
  </si>
  <si>
    <t>RES SMD 10K OHM 1% 1/10W 0603</t>
  </si>
  <si>
    <t>10k</t>
  </si>
  <si>
    <t>RG1608P-103-B-T5</t>
  </si>
  <si>
    <t>RES SMD 10K OHM 0.1% 1/10W 0603</t>
  </si>
  <si>
    <t>RC0603FR-0715KL</t>
  </si>
  <si>
    <t>RES SMD 15K OHM 1% 1/10W 0603</t>
  </si>
  <si>
    <t>15k</t>
  </si>
  <si>
    <t>RC0603FR-0720K5L</t>
  </si>
  <si>
    <t>RES SMD 20.5K OHM 1% 1/10W 0603</t>
  </si>
  <si>
    <t>20.5k</t>
  </si>
  <si>
    <t>ERJ-3EKF4642V</t>
  </si>
  <si>
    <t>RES SMD 46.4K OHM 1% 1/10W 0603</t>
  </si>
  <si>
    <t>100k</t>
  </si>
  <si>
    <t>RG1608P-104-B-T5</t>
  </si>
  <si>
    <t>RES SMD 100K OHM 0.1% 1/10W 0603</t>
  </si>
  <si>
    <t>ERJ-3EKF2553V</t>
  </si>
  <si>
    <t>RES SMD 255K OHM 1% 1/10W 0603</t>
  </si>
  <si>
    <t>255k</t>
  </si>
  <si>
    <t>ERJ-3GEYJ105V</t>
  </si>
  <si>
    <t>RES SMD 1M OHM 5% 1/10W 0603</t>
  </si>
  <si>
    <t>1M</t>
  </si>
  <si>
    <t>ERJ-3EKF2151V</t>
  </si>
  <si>
    <t>RES SMD 2.15K OHM 1% 1/10W 0603</t>
  </si>
  <si>
    <t>2.15k</t>
  </si>
  <si>
    <t>15pF</t>
  </si>
  <si>
    <t>http://www.digikey.com/product-detail/en/SI2301BDS-T1-E3/SI2301BDS-T1-E3CT-ND/1656835</t>
  </si>
  <si>
    <t>http://www.digikey.com/product-detail/en/PMEG2010AEH,115/568-4112-1-ND/1589927</t>
  </si>
  <si>
    <t>http://www.digikey.com/product-detail/en/UWT1E331MNL1GS/493-2193-1-ND/590168</t>
  </si>
  <si>
    <t>Vishay Siliconix</t>
  </si>
  <si>
    <t>SI2301BDS-T1-E3</t>
  </si>
  <si>
    <t>MOSFET P-CH 20V 2.2A SOT23-3</t>
  </si>
  <si>
    <t>SOT-23-3 (TO-236)</t>
  </si>
  <si>
    <t>Citizen Finedevice Co Ltd</t>
  </si>
  <si>
    <t>Nichicon</t>
  </si>
  <si>
    <t>UWT1E331MNL1GS</t>
  </si>
  <si>
    <t>CAP ALUM 330UF 20% 25V SMD</t>
  </si>
  <si>
    <t>Aluminum Capacitors</t>
  </si>
  <si>
    <t>330µF</t>
  </si>
  <si>
    <t>Radial, Can - SMD</t>
  </si>
  <si>
    <t>PMEG2010AEH,115</t>
  </si>
  <si>
    <t>DIODE SCHOTTKY 20V 1A SOD123F</t>
  </si>
  <si>
    <t>Diodes, Rectifiers - Single</t>
  </si>
  <si>
    <t>SOD-123F</t>
  </si>
  <si>
    <t>46.4k</t>
  </si>
  <si>
    <t>C37</t>
  </si>
  <si>
    <t>C2 C5 C27 C31 C32 C35 C36 C38</t>
  </si>
  <si>
    <t>CON2</t>
  </si>
  <si>
    <t>Standard 0.1" connector 3x2</t>
  </si>
  <si>
    <t>D1</t>
  </si>
  <si>
    <t>P6</t>
  </si>
  <si>
    <t>Standard 0.1" connector 4x1</t>
  </si>
  <si>
    <t>R3 R6 R30</t>
  </si>
  <si>
    <t>Q4</t>
  </si>
  <si>
    <t>R22</t>
  </si>
  <si>
    <t>http://www.digikey.com/product-detail/en/ERA-3AEB153V/P15KDBCT-ND/1466080</t>
  </si>
  <si>
    <t>R23</t>
  </si>
  <si>
    <t>http://www.digikey.com/product-detail/en/ERA-3AEB122V/P1.2KDBCT-ND/1466054</t>
  </si>
  <si>
    <t>ERA-3AEB153V</t>
  </si>
  <si>
    <t>RES SMD 15K OHM 0.1% 1/10W 0603</t>
  </si>
  <si>
    <t>ERA-3AEB122V</t>
  </si>
  <si>
    <t>RES SMD 1.2K OHM 0.1% 1/10W 0603</t>
  </si>
  <si>
    <t>http://www.digikey.com/product-detail/en/ERA-3AEB102V/P1.0KDBCT-ND/1466052</t>
  </si>
  <si>
    <t>http://www.digikey.com/product-detail/en/CL10C150JB8NNNC/1276-1296-1-ND/3889382</t>
  </si>
  <si>
    <t>CL10C150JB8NNNC</t>
  </si>
  <si>
    <t>ERA-3AEB102V</t>
  </si>
  <si>
    <t>RES SMD 1K OHM 0.1% 1/10W 0603</t>
  </si>
  <si>
    <t>http://www.digikey.com/product-detail/en/TLV3502AIDCNT/296-18147-1-ND/773322</t>
  </si>
  <si>
    <t>C24 C25</t>
  </si>
  <si>
    <t>DO NOT POPULATE</t>
  </si>
  <si>
    <t>Q1 Q2 Q3 Q5</t>
  </si>
  <si>
    <t>R2 R10 R18 R27 R29 R37</t>
  </si>
  <si>
    <t>U11</t>
  </si>
  <si>
    <t>IC REG BOOST ADJ 1A SYNC 10-LLP</t>
  </si>
  <si>
    <t>TLV3502AIDCNT</t>
  </si>
  <si>
    <t>IC COMPARATOR R-R HI-SPD SOT23-8</t>
  </si>
  <si>
    <t>Linear - Comparators</t>
  </si>
  <si>
    <t>SOT-23-8</t>
  </si>
  <si>
    <t xml:space="preserve">Missing in Kicad: NOT_POPULATED NOT_POPULATED </t>
  </si>
  <si>
    <t>R4 R17</t>
  </si>
  <si>
    <t>R5 R8</t>
  </si>
  <si>
    <t xml:space="preserve">Missing in BoM: P1 P2 P3 P4 P7 P8 P9 </t>
  </si>
  <si>
    <t>http://www.digikey.com/product-detail/en/RG3216P-1001-B-T1/RG32P1.0KBCT-ND/2078593</t>
  </si>
  <si>
    <t>R14</t>
  </si>
  <si>
    <t>R21</t>
  </si>
  <si>
    <t>RG3216P-1001-B-T1</t>
  </si>
  <si>
    <t>RES SMD 1K OHM 0.1% 1/4W 1206</t>
  </si>
  <si>
    <t>R34 R35</t>
  </si>
  <si>
    <t>C1 C3 C8 C12 C13 C14 C15 C18 C19 C34 C39 C40 C41 C42</t>
  </si>
  <si>
    <t>http://www.digikey.com/product-detail/en/SN74LVC1G08DCKR/296-11602-1-ND/385741</t>
  </si>
  <si>
    <t>U12</t>
  </si>
  <si>
    <t>http://www.digikey.com/product-detail/en/ERJ-3EKF1001V/P1.00KHCT-ND/198071</t>
  </si>
  <si>
    <t>R36</t>
  </si>
  <si>
    <t>R26</t>
  </si>
  <si>
    <t>R1 R11 R12 R19 R25 R28 R31 R32 R38</t>
  </si>
  <si>
    <t>R9 R33</t>
  </si>
  <si>
    <t>SN74LVC1G08DCKR</t>
  </si>
  <si>
    <t>IC GATE AND 1CH 2-INP SC-70-5</t>
  </si>
  <si>
    <t>Logic - Gates and Inverters</t>
  </si>
  <si>
    <t>5-TSSOP, SC-70-5, SOT-353</t>
  </si>
  <si>
    <t>http://www.digikey.com/product-detail/en/RC0603FR-075K49L/311-5.49KHRCT-ND/730221</t>
  </si>
  <si>
    <t>RC0603FR-075K49L</t>
  </si>
  <si>
    <t>RES SMD 5.49K OHM 1% 1/10W 0603</t>
  </si>
  <si>
    <t>5.49k</t>
  </si>
  <si>
    <t>ERJ-3EKF1001V</t>
  </si>
  <si>
    <t>RES SMD 1K OHM 1% 1/10W 0603</t>
  </si>
  <si>
    <t>http://www.digikey.com/product-detail/en/PRG3216P-4700-B-T5/408-1862-1-ND/4917843</t>
  </si>
  <si>
    <t>Analog Devices Inc.</t>
  </si>
  <si>
    <t>Samsung Electro-Mechanics America, Inc.</t>
  </si>
  <si>
    <t>PRG3216P-4700-B-T5</t>
  </si>
  <si>
    <t>RES SMD 470 OHM 0.1% 1W 1206</t>
  </si>
  <si>
    <t>RES SMD 0.0OHM JUMPER 1/10W 0603</t>
  </si>
  <si>
    <t>PMIC - Voltage Regulators - Linear</t>
  </si>
  <si>
    <t>CAP CER 10UF 16V X5R 0805</t>
  </si>
  <si>
    <t>CAP CER 10UF 25V X5R 1206</t>
  </si>
  <si>
    <t>CAP CER 1UF 10V X7R 0603</t>
  </si>
  <si>
    <t>CAP CER 0.1UF 50V X7R 0603</t>
  </si>
  <si>
    <t>CAP CER 10000PF 50V X7R 0603</t>
  </si>
  <si>
    <t>CAP CER 4700PF 50V X7R 0603</t>
  </si>
  <si>
    <t>CAP CER 2200PF 50V X7R 0603</t>
  </si>
  <si>
    <t>CAP CER 100PF 50V NP0 0603</t>
  </si>
  <si>
    <t>CAP CER 15PF 50V NP0 0603</t>
  </si>
  <si>
    <t>NOT POPULATED</t>
  </si>
  <si>
    <t xml:space="preserve">Connector Receptacle USB - micro B 2.0 5 Position Surface Mount, Right Angle, Horizontal
</t>
  </si>
  <si>
    <t xml:space="preserve">Crystal 32.7680kHz 10ppm 12.5pF 70 kOhm -40°C - 85°C Surface Mount 1206 (3216 Metric)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</si>
</sst>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9" fillId="0" borderId="23" applyNumberFormat="0" applyFill="0" applyAlignment="0" applyProtection="0"/>
    <xf numFmtId="0" fontId="20" fillId="0" borderId="24" applyNumberFormat="0" applyFill="0" applyAlignment="0" applyProtection="0"/>
    <xf numFmtId="0" fontId="21" fillId="0" borderId="25" applyNumberFormat="0" applyFill="0" applyAlignment="0" applyProtection="0"/>
    <xf numFmtId="0" fontId="21" fillId="0" borderId="0" applyNumberFormat="0" applyFill="0" applyBorder="0" applyAlignment="0" applyProtection="0"/>
    <xf numFmtId="0" fontId="22" fillId="12" borderId="0" applyNumberFormat="0" applyBorder="0" applyAlignment="0" applyProtection="0"/>
    <xf numFmtId="0" fontId="23" fillId="13" borderId="0" applyNumberFormat="0" applyBorder="0" applyAlignment="0" applyProtection="0"/>
    <xf numFmtId="0" fontId="24" fillId="14" borderId="0" applyNumberFormat="0" applyBorder="0" applyAlignment="0" applyProtection="0"/>
    <xf numFmtId="0" fontId="25" fillId="15" borderId="26" applyNumberFormat="0" applyAlignment="0" applyProtection="0"/>
    <xf numFmtId="0" fontId="26" fillId="16" borderId="27" applyNumberFormat="0" applyAlignment="0" applyProtection="0"/>
    <xf numFmtId="0" fontId="27" fillId="16" borderId="26" applyNumberFormat="0" applyAlignment="0" applyProtection="0"/>
    <xf numFmtId="0" fontId="28" fillId="0" borderId="28" applyNumberFormat="0" applyFill="0" applyAlignment="0" applyProtection="0"/>
    <xf numFmtId="0" fontId="29" fillId="17" borderId="29" applyNumberFormat="0" applyAlignment="0" applyProtection="0"/>
    <xf numFmtId="0" fontId="30" fillId="0" borderId="0" applyNumberFormat="0" applyFill="0" applyBorder="0" applyAlignment="0" applyProtection="0"/>
    <xf numFmtId="0" fontId="17" fillId="18" borderId="30" applyNumberFormat="0" applyFont="0" applyAlignment="0" applyProtection="0"/>
    <xf numFmtId="0" fontId="31" fillId="0" borderId="0" applyNumberFormat="0" applyFill="0" applyBorder="0" applyAlignment="0" applyProtection="0"/>
    <xf numFmtId="0" fontId="9" fillId="0" borderId="31" applyNumberFormat="0" applyFill="0" applyAlignment="0" applyProtection="0"/>
    <xf numFmtId="0" fontId="3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3" borderId="0" applyNumberFormat="0" applyBorder="0" applyAlignment="0" applyProtection="0"/>
    <xf numFmtId="0" fontId="32" fillId="34" borderId="0" applyNumberFormat="0" applyBorder="0" applyAlignment="0" applyProtection="0"/>
    <xf numFmtId="0" fontId="32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41" borderId="0" applyNumberFormat="0" applyBorder="0" applyAlignment="0" applyProtection="0"/>
    <xf numFmtId="0" fontId="32" fillId="42" borderId="0" applyNumberFormat="0" applyBorder="0" applyAlignment="0" applyProtection="0"/>
  </cellStyleXfs>
  <cellXfs count="15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6" fillId="2" borderId="0" xfId="1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 vertical="center"/>
    </xf>
    <xf numFmtId="0" fontId="8" fillId="2" borderId="0" xfId="2" applyFont="1" applyFill="1" applyBorder="1" applyAlignment="1" applyProtection="1">
      <alignment horizontal="center"/>
    </xf>
    <xf numFmtId="0" fontId="6" fillId="2" borderId="8" xfId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9" fillId="2" borderId="2" xfId="1" applyFont="1" applyFill="1" applyBorder="1" applyAlignment="1">
      <alignment horizontal="center" vertical="center" wrapText="1"/>
    </xf>
    <xf numFmtId="0" fontId="9" fillId="2" borderId="9" xfId="1" applyFont="1" applyFill="1" applyBorder="1" applyAlignment="1">
      <alignment horizontal="center" vertical="center" wrapText="1"/>
    </xf>
    <xf numFmtId="0" fontId="8" fillId="2" borderId="4" xfId="2" applyFont="1" applyFill="1" applyBorder="1" applyAlignment="1" applyProtection="1">
      <alignment horizontal="center"/>
    </xf>
    <xf numFmtId="0" fontId="0" fillId="0" borderId="4" xfId="0" applyBorder="1"/>
    <xf numFmtId="0" fontId="0" fillId="0" borderId="5" xfId="0" applyBorder="1"/>
    <xf numFmtId="0" fontId="9" fillId="0" borderId="13" xfId="0" applyFont="1" applyBorder="1" applyAlignment="1">
      <alignment horizontal="center"/>
    </xf>
    <xf numFmtId="0" fontId="3" fillId="0" borderId="12" xfId="1" applyFont="1" applyBorder="1" applyAlignment="1">
      <alignment horizontal="center" vertical="center" wrapText="1"/>
    </xf>
    <xf numFmtId="0" fontId="3" fillId="0" borderId="18" xfId="1" applyFont="1" applyBorder="1" applyAlignment="1">
      <alignment horizontal="center" vertical="center" wrapText="1"/>
    </xf>
    <xf numFmtId="0" fontId="3" fillId="0" borderId="19" xfId="1" applyFont="1" applyBorder="1" applyAlignment="1">
      <alignment horizontal="center" vertical="center" wrapText="1"/>
    </xf>
    <xf numFmtId="0" fontId="3" fillId="0" borderId="20" xfId="1" applyFont="1" applyBorder="1" applyAlignment="1">
      <alignment horizontal="center" vertical="center" wrapText="1"/>
    </xf>
    <xf numFmtId="0" fontId="3" fillId="0" borderId="21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0" fontId="13" fillId="2" borderId="16" xfId="1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/>
    </xf>
    <xf numFmtId="0" fontId="15" fillId="2" borderId="11" xfId="0" applyFont="1" applyFill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/>
    <xf numFmtId="0" fontId="10" fillId="2" borderId="0" xfId="0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 wrapText="1"/>
    </xf>
    <xf numFmtId="0" fontId="3" fillId="2" borderId="1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/>
    </xf>
    <xf numFmtId="0" fontId="12" fillId="2" borderId="2" xfId="1" applyFont="1" applyFill="1" applyBorder="1" applyAlignment="1">
      <alignment horizontal="center" wrapText="1"/>
    </xf>
    <xf numFmtId="0" fontId="12" fillId="2" borderId="1" xfId="1" applyFont="1" applyFill="1" applyBorder="1" applyAlignment="1">
      <alignment horizontal="center"/>
    </xf>
    <xf numFmtId="3" fontId="12" fillId="2" borderId="1" xfId="1" applyNumberFormat="1" applyFont="1" applyFill="1" applyBorder="1" applyAlignment="1">
      <alignment horizontal="center" wrapText="1"/>
    </xf>
    <xf numFmtId="0" fontId="12" fillId="2" borderId="1" xfId="1" applyFont="1" applyFill="1" applyBorder="1" applyAlignment="1">
      <alignment horizontal="center" vertical="center" wrapText="1"/>
    </xf>
    <xf numFmtId="0" fontId="12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2" fillId="2" borderId="3" xfId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 wrapText="1"/>
    </xf>
    <xf numFmtId="0" fontId="3" fillId="3" borderId="14" xfId="1" applyFont="1" applyFill="1" applyBorder="1" applyAlignment="1">
      <alignment horizontal="center" vertical="center" wrapText="1"/>
    </xf>
    <xf numFmtId="0" fontId="12" fillId="3" borderId="17" xfId="1" applyFont="1" applyFill="1" applyBorder="1" applyAlignment="1">
      <alignment horizontal="center"/>
    </xf>
    <xf numFmtId="0" fontId="12" fillId="3" borderId="9" xfId="1" applyFont="1" applyFill="1" applyBorder="1" applyAlignment="1">
      <alignment horizontal="center" wrapText="1"/>
    </xf>
    <xf numFmtId="0" fontId="12" fillId="3" borderId="10" xfId="1" applyFont="1" applyFill="1" applyBorder="1" applyAlignment="1">
      <alignment horizontal="center"/>
    </xf>
    <xf numFmtId="0" fontId="12" fillId="4" borderId="10" xfId="1" applyFont="1" applyFill="1" applyBorder="1" applyAlignment="1">
      <alignment horizontal="center"/>
    </xf>
    <xf numFmtId="3" fontId="12" fillId="3" borderId="10" xfId="1" applyNumberFormat="1" applyFont="1" applyFill="1" applyBorder="1" applyAlignment="1">
      <alignment horizontal="center" wrapText="1"/>
    </xf>
    <xf numFmtId="0" fontId="12" fillId="3" borderId="10" xfId="1" applyFont="1" applyFill="1" applyBorder="1" applyAlignment="1">
      <alignment horizontal="center" vertical="center" wrapText="1"/>
    </xf>
    <xf numFmtId="0" fontId="12" fillId="3" borderId="10" xfId="1" applyFont="1" applyFill="1" applyBorder="1" applyAlignment="1">
      <alignment horizontal="center" vertical="center"/>
    </xf>
    <xf numFmtId="0" fontId="4" fillId="3" borderId="10" xfId="2" applyFill="1" applyBorder="1" applyAlignment="1" applyProtection="1">
      <alignment horizontal="center" vertical="center"/>
    </xf>
    <xf numFmtId="0" fontId="12" fillId="3" borderId="11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3" borderId="15" xfId="1" applyFont="1" applyFill="1" applyBorder="1" applyAlignment="1">
      <alignment horizontal="center" vertical="center" wrapText="1"/>
    </xf>
    <xf numFmtId="0" fontId="12" fillId="3" borderId="7" xfId="1" applyFont="1" applyFill="1" applyBorder="1" applyAlignment="1">
      <alignment horizontal="center"/>
    </xf>
    <xf numFmtId="0" fontId="12" fillId="3" borderId="2" xfId="1" applyFont="1" applyFill="1" applyBorder="1" applyAlignment="1">
      <alignment horizontal="center" wrapText="1"/>
    </xf>
    <xf numFmtId="0" fontId="12" fillId="3" borderId="1" xfId="1" applyFont="1" applyFill="1" applyBorder="1" applyAlignment="1">
      <alignment horizontal="center"/>
    </xf>
    <xf numFmtId="0" fontId="12" fillId="4" borderId="1" xfId="1" applyFont="1" applyFill="1" applyBorder="1" applyAlignment="1">
      <alignment horizontal="center"/>
    </xf>
    <xf numFmtId="3" fontId="12" fillId="3" borderId="1" xfId="1" applyNumberFormat="1" applyFont="1" applyFill="1" applyBorder="1" applyAlignment="1">
      <alignment horizontal="center" wrapText="1"/>
    </xf>
    <xf numFmtId="0" fontId="12" fillId="3" borderId="1" xfId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3" borderId="1" xfId="2" applyFill="1" applyBorder="1" applyAlignment="1" applyProtection="1">
      <alignment horizontal="center" vertical="center"/>
    </xf>
    <xf numFmtId="0" fontId="12" fillId="3" borderId="3" xfId="1" applyFont="1" applyFill="1" applyBorder="1" applyAlignment="1">
      <alignment horizontal="center" vertical="center" wrapText="1"/>
    </xf>
    <xf numFmtId="0" fontId="12" fillId="3" borderId="1" xfId="1" applyFont="1" applyFill="1" applyBorder="1" applyAlignment="1">
      <alignment horizontal="center" vertical="center"/>
    </xf>
    <xf numFmtId="0" fontId="4" fillId="3" borderId="1" xfId="2" applyFill="1" applyBorder="1" applyAlignment="1" applyProtection="1">
      <alignment horizontal="center"/>
    </xf>
    <xf numFmtId="0" fontId="12" fillId="3" borderId="3" xfId="1" applyFont="1" applyFill="1" applyBorder="1" applyAlignment="1">
      <alignment horizontal="center" vertical="center"/>
    </xf>
    <xf numFmtId="0" fontId="3" fillId="5" borderId="7" xfId="1" applyFont="1" applyFill="1" applyBorder="1" applyAlignment="1">
      <alignment horizontal="center" vertical="center" wrapText="1"/>
    </xf>
    <xf numFmtId="0" fontId="3" fillId="5" borderId="15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/>
    </xf>
    <xf numFmtId="0" fontId="12" fillId="5" borderId="2" xfId="1" applyFont="1" applyFill="1" applyBorder="1" applyAlignment="1">
      <alignment horizontal="center" wrapText="1"/>
    </xf>
    <xf numFmtId="0" fontId="12" fillId="5" borderId="1" xfId="1" applyFont="1" applyFill="1" applyBorder="1" applyAlignment="1">
      <alignment horizontal="center"/>
    </xf>
    <xf numFmtId="3" fontId="12" fillId="5" borderId="1" xfId="1" applyNumberFormat="1" applyFont="1" applyFill="1" applyBorder="1" applyAlignment="1">
      <alignment horizontal="center" wrapText="1"/>
    </xf>
    <xf numFmtId="0" fontId="12" fillId="5" borderId="1" xfId="1" applyFont="1" applyFill="1" applyBorder="1" applyAlignment="1">
      <alignment horizontal="center" vertical="center" wrapText="1"/>
    </xf>
    <xf numFmtId="0" fontId="12" fillId="5" borderId="1" xfId="1" applyFont="1" applyFill="1" applyBorder="1" applyAlignment="1">
      <alignment horizontal="center" vertical="center"/>
    </xf>
    <xf numFmtId="0" fontId="4" fillId="5" borderId="1" xfId="2" applyFill="1" applyBorder="1" applyAlignment="1" applyProtection="1">
      <alignment horizontal="center"/>
    </xf>
    <xf numFmtId="0" fontId="12" fillId="5" borderId="3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center" vertical="center" wrapText="1"/>
    </xf>
    <xf numFmtId="0" fontId="3" fillId="6" borderId="15" xfId="1" applyFont="1" applyFill="1" applyBorder="1" applyAlignment="1">
      <alignment horizontal="center" vertical="center" wrapText="1"/>
    </xf>
    <xf numFmtId="0" fontId="12" fillId="6" borderId="7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wrapText="1"/>
    </xf>
    <xf numFmtId="0" fontId="12" fillId="6" borderId="1" xfId="1" applyFont="1" applyFill="1" applyBorder="1" applyAlignment="1">
      <alignment horizontal="center"/>
    </xf>
    <xf numFmtId="3" fontId="12" fillId="6" borderId="1" xfId="1" applyNumberFormat="1" applyFont="1" applyFill="1" applyBorder="1" applyAlignment="1">
      <alignment horizontal="center" wrapText="1"/>
    </xf>
    <xf numFmtId="0" fontId="12" fillId="6" borderId="1" xfId="1" applyFont="1" applyFill="1" applyBorder="1" applyAlignment="1">
      <alignment horizontal="center" vertical="center" wrapText="1"/>
    </xf>
    <xf numFmtId="0" fontId="12" fillId="6" borderId="1" xfId="1" applyFont="1" applyFill="1" applyBorder="1" applyAlignment="1">
      <alignment horizontal="center" vertical="center"/>
    </xf>
    <xf numFmtId="0" fontId="12" fillId="6" borderId="3" xfId="1" applyFont="1" applyFill="1" applyBorder="1" applyAlignment="1">
      <alignment horizontal="center" vertical="center" wrapText="1"/>
    </xf>
    <xf numFmtId="0" fontId="3" fillId="7" borderId="7" xfId="1" applyFont="1" applyFill="1" applyBorder="1" applyAlignment="1">
      <alignment horizontal="center" vertical="center" wrapText="1"/>
    </xf>
    <xf numFmtId="0" fontId="3" fillId="7" borderId="15" xfId="1" applyFont="1" applyFill="1" applyBorder="1" applyAlignment="1">
      <alignment horizontal="center" vertical="center" wrapText="1"/>
    </xf>
    <xf numFmtId="0" fontId="12" fillId="7" borderId="7" xfId="1" applyFont="1" applyFill="1" applyBorder="1" applyAlignment="1">
      <alignment horizontal="center"/>
    </xf>
    <xf numFmtId="0" fontId="12" fillId="7" borderId="2" xfId="1" applyFont="1" applyFill="1" applyBorder="1" applyAlignment="1">
      <alignment horizontal="center" wrapText="1"/>
    </xf>
    <xf numFmtId="0" fontId="12" fillId="7" borderId="1" xfId="1" applyFont="1" applyFill="1" applyBorder="1" applyAlignment="1">
      <alignment horizontal="center"/>
    </xf>
    <xf numFmtId="3" fontId="12" fillId="7" borderId="1" xfId="1" applyNumberFormat="1" applyFont="1" applyFill="1" applyBorder="1" applyAlignment="1">
      <alignment horizontal="center" wrapText="1"/>
    </xf>
    <xf numFmtId="0" fontId="12" fillId="7" borderId="1" xfId="1" applyFont="1" applyFill="1" applyBorder="1" applyAlignment="1">
      <alignment horizontal="center" vertical="center" wrapText="1"/>
    </xf>
    <xf numFmtId="0" fontId="12" fillId="7" borderId="1" xfId="1" applyFont="1" applyFill="1" applyBorder="1" applyAlignment="1">
      <alignment horizontal="center" vertical="center"/>
    </xf>
    <xf numFmtId="0" fontId="4" fillId="7" borderId="1" xfId="2" applyFill="1" applyBorder="1" applyAlignment="1" applyProtection="1">
      <alignment horizontal="center" vertical="center"/>
    </xf>
    <xf numFmtId="0" fontId="12" fillId="7" borderId="3" xfId="1" applyFont="1" applyFill="1" applyBorder="1" applyAlignment="1">
      <alignment horizontal="center" vertical="center" wrapText="1"/>
    </xf>
    <xf numFmtId="0" fontId="3" fillId="8" borderId="7" xfId="1" applyFont="1" applyFill="1" applyBorder="1" applyAlignment="1">
      <alignment horizontal="center" vertical="center" wrapText="1"/>
    </xf>
    <xf numFmtId="0" fontId="3" fillId="8" borderId="15" xfId="1" applyFont="1" applyFill="1" applyBorder="1" applyAlignment="1">
      <alignment horizontal="center" vertical="center" wrapText="1"/>
    </xf>
    <xf numFmtId="0" fontId="12" fillId="8" borderId="7" xfId="1" applyFont="1" applyFill="1" applyBorder="1" applyAlignment="1">
      <alignment horizontal="center"/>
    </xf>
    <xf numFmtId="0" fontId="12" fillId="8" borderId="2" xfId="1" applyFont="1" applyFill="1" applyBorder="1" applyAlignment="1">
      <alignment horizontal="center" wrapText="1"/>
    </xf>
    <xf numFmtId="0" fontId="12" fillId="8" borderId="1" xfId="1" applyFont="1" applyFill="1" applyBorder="1" applyAlignment="1">
      <alignment horizontal="center"/>
    </xf>
    <xf numFmtId="3" fontId="12" fillId="8" borderId="1" xfId="1" applyNumberFormat="1" applyFont="1" applyFill="1" applyBorder="1" applyAlignment="1">
      <alignment horizontal="center" wrapText="1"/>
    </xf>
    <xf numFmtId="0" fontId="12" fillId="8" borderId="1" xfId="1" applyFont="1" applyFill="1" applyBorder="1" applyAlignment="1">
      <alignment horizontal="center" vertical="center" wrapText="1"/>
    </xf>
    <xf numFmtId="0" fontId="12" fillId="8" borderId="1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 vertical="center"/>
    </xf>
    <xf numFmtId="0" fontId="12" fillId="8" borderId="3" xfId="1" applyFont="1" applyFill="1" applyBorder="1" applyAlignment="1">
      <alignment horizontal="center" vertical="center" wrapText="1"/>
    </xf>
    <xf numFmtId="0" fontId="3" fillId="9" borderId="7" xfId="1" applyFont="1" applyFill="1" applyBorder="1" applyAlignment="1">
      <alignment horizontal="center" vertical="center" wrapText="1"/>
    </xf>
    <xf numFmtId="0" fontId="3" fillId="9" borderId="15" xfId="1" applyFont="1" applyFill="1" applyBorder="1" applyAlignment="1">
      <alignment horizontal="center" vertical="center" wrapText="1"/>
    </xf>
    <xf numFmtId="0" fontId="12" fillId="9" borderId="7" xfId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" wrapText="1"/>
    </xf>
    <xf numFmtId="0" fontId="12" fillId="9" borderId="1" xfId="1" applyFont="1" applyFill="1" applyBorder="1" applyAlignment="1">
      <alignment horizontal="center"/>
    </xf>
    <xf numFmtId="3" fontId="12" fillId="9" borderId="1" xfId="1" applyNumberFormat="1" applyFont="1" applyFill="1" applyBorder="1" applyAlignment="1">
      <alignment horizontal="center" wrapText="1"/>
    </xf>
    <xf numFmtId="0" fontId="12" fillId="9" borderId="1" xfId="1" applyFont="1" applyFill="1" applyBorder="1" applyAlignment="1">
      <alignment horizontal="center" vertical="center" wrapText="1"/>
    </xf>
    <xf numFmtId="0" fontId="12" fillId="9" borderId="1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12" fillId="9" borderId="3" xfId="1" applyFont="1" applyFill="1" applyBorder="1" applyAlignment="1">
      <alignment horizontal="center" vertical="center" wrapText="1"/>
    </xf>
    <xf numFmtId="0" fontId="3" fillId="10" borderId="7" xfId="1" applyFont="1" applyFill="1" applyBorder="1" applyAlignment="1">
      <alignment horizontal="center" vertical="center" wrapText="1"/>
    </xf>
    <xf numFmtId="0" fontId="3" fillId="10" borderId="15" xfId="1" applyFont="1" applyFill="1" applyBorder="1" applyAlignment="1">
      <alignment horizontal="center" vertical="center" wrapText="1"/>
    </xf>
    <xf numFmtId="0" fontId="12" fillId="10" borderId="7" xfId="1" applyFont="1" applyFill="1" applyBorder="1" applyAlignment="1">
      <alignment horizontal="center"/>
    </xf>
    <xf numFmtId="0" fontId="12" fillId="10" borderId="2" xfId="1" applyFont="1" applyFill="1" applyBorder="1" applyAlignment="1">
      <alignment horizontal="center" wrapText="1"/>
    </xf>
    <xf numFmtId="0" fontId="12" fillId="10" borderId="1" xfId="1" applyFont="1" applyFill="1" applyBorder="1" applyAlignment="1">
      <alignment horizontal="center"/>
    </xf>
    <xf numFmtId="3" fontId="12" fillId="10" borderId="1" xfId="1" applyNumberFormat="1" applyFont="1" applyFill="1" applyBorder="1" applyAlignment="1">
      <alignment horizontal="center" wrapText="1"/>
    </xf>
    <xf numFmtId="0" fontId="12" fillId="10" borderId="1" xfId="1" applyFont="1" applyFill="1" applyBorder="1" applyAlignment="1">
      <alignment horizontal="center" vertical="center" wrapText="1"/>
    </xf>
    <xf numFmtId="0" fontId="12" fillId="10" borderId="1" xfId="1" applyFont="1" applyFill="1" applyBorder="1" applyAlignment="1">
      <alignment horizontal="center" vertical="center"/>
    </xf>
    <xf numFmtId="0" fontId="4" fillId="10" borderId="1" xfId="2" applyFill="1" applyBorder="1" applyAlignment="1" applyProtection="1">
      <alignment horizontal="center" vertical="center"/>
    </xf>
    <xf numFmtId="0" fontId="12" fillId="10" borderId="3" xfId="1" applyFont="1" applyFill="1" applyBorder="1" applyAlignment="1">
      <alignment horizontal="center" vertical="center" wrapText="1"/>
    </xf>
    <xf numFmtId="0" fontId="3" fillId="11" borderId="7" xfId="1" applyFont="1" applyFill="1" applyBorder="1" applyAlignment="1">
      <alignment horizontal="center" vertical="center" wrapText="1"/>
    </xf>
    <xf numFmtId="0" fontId="3" fillId="11" borderId="15" xfId="1" applyFont="1" applyFill="1" applyBorder="1" applyAlignment="1">
      <alignment horizontal="center" vertical="center" wrapText="1"/>
    </xf>
    <xf numFmtId="0" fontId="12" fillId="11" borderId="7" xfId="1" applyFont="1" applyFill="1" applyBorder="1" applyAlignment="1">
      <alignment horizontal="center"/>
    </xf>
    <xf numFmtId="0" fontId="12" fillId="11" borderId="2" xfId="1" applyFont="1" applyFill="1" applyBorder="1" applyAlignment="1">
      <alignment horizontal="center" wrapText="1"/>
    </xf>
    <xf numFmtId="0" fontId="12" fillId="11" borderId="1" xfId="1" applyFont="1" applyFill="1" applyBorder="1" applyAlignment="1">
      <alignment horizontal="center"/>
    </xf>
    <xf numFmtId="3" fontId="12" fillId="11" borderId="1" xfId="1" applyNumberFormat="1" applyFont="1" applyFill="1" applyBorder="1" applyAlignment="1">
      <alignment horizontal="center" wrapText="1"/>
    </xf>
    <xf numFmtId="0" fontId="12" fillId="11" borderId="1" xfId="1" applyFont="1" applyFill="1" applyBorder="1" applyAlignment="1">
      <alignment horizontal="center" vertical="center" wrapText="1"/>
    </xf>
    <xf numFmtId="0" fontId="12" fillId="11" borderId="1" xfId="1" applyFont="1" applyFill="1" applyBorder="1" applyAlignment="1">
      <alignment horizontal="center" vertical="center"/>
    </xf>
    <xf numFmtId="0" fontId="4" fillId="11" borderId="1" xfId="2" applyFill="1" applyBorder="1" applyAlignment="1" applyProtection="1">
      <alignment horizontal="center" vertical="center"/>
    </xf>
    <xf numFmtId="0" fontId="12" fillId="11" borderId="3" xfId="1" applyFont="1" applyFill="1" applyBorder="1" applyAlignment="1">
      <alignment horizontal="center" vertical="center" wrapText="1"/>
    </xf>
    <xf numFmtId="0" fontId="12" fillId="5" borderId="3" xfId="1" applyFont="1" applyFill="1" applyBorder="1" applyAlignment="1">
      <alignment horizontal="center" vertical="center" wrapText="1"/>
    </xf>
    <xf numFmtId="0" fontId="4" fillId="6" borderId="1" xfId="2" applyFill="1" applyBorder="1" applyAlignment="1" applyProtection="1">
      <alignment horizontal="center" vertical="center"/>
    </xf>
    <xf numFmtId="3" fontId="12" fillId="43" borderId="1" xfId="1" applyNumberFormat="1" applyFont="1" applyFill="1" applyBorder="1" applyAlignment="1">
      <alignment horizontal="center" wrapText="1"/>
    </xf>
    <xf numFmtId="0" fontId="12" fillId="43" borderId="7" xfId="1" applyFont="1" applyFill="1" applyBorder="1" applyAlignment="1">
      <alignment horizontal="center"/>
    </xf>
    <xf numFmtId="0" fontId="12" fillId="43" borderId="3" xfId="1" applyFont="1" applyFill="1" applyBorder="1" applyAlignment="1">
      <alignment horizontal="center" vertical="center" wrapText="1"/>
    </xf>
    <xf numFmtId="0" fontId="12" fillId="43" borderId="1" xfId="1" applyFont="1" applyFill="1" applyBorder="1" applyAlignment="1">
      <alignment horizontal="center" vertical="center" wrapText="1"/>
    </xf>
    <xf numFmtId="0" fontId="4" fillId="43" borderId="1" xfId="2" applyFill="1" applyBorder="1" applyAlignment="1" applyProtection="1">
      <alignment horizontal="center"/>
    </xf>
    <xf numFmtId="0" fontId="12" fillId="43" borderId="2" xfId="1" applyFont="1" applyFill="1" applyBorder="1" applyAlignment="1">
      <alignment horizontal="center" wrapText="1"/>
    </xf>
    <xf numFmtId="0" fontId="12" fillId="43" borderId="1" xfId="1" applyFont="1" applyFill="1" applyBorder="1" applyAlignment="1">
      <alignment horizontal="center" vertical="center"/>
    </xf>
    <xf numFmtId="0" fontId="3" fillId="43" borderId="7" xfId="1" applyFont="1" applyFill="1" applyBorder="1" applyAlignment="1">
      <alignment horizontal="center" vertical="center" wrapText="1"/>
    </xf>
    <xf numFmtId="0" fontId="12" fillId="43" borderId="1" xfId="1" applyFont="1" applyFill="1" applyBorder="1" applyAlignment="1">
      <alignment horizontal="center"/>
    </xf>
    <xf numFmtId="0" fontId="3" fillId="43" borderId="15" xfId="1" applyFont="1" applyFill="1" applyBorder="1" applyAlignment="1">
      <alignment horizontal="center" vertical="center" wrapText="1"/>
    </xf>
    <xf numFmtId="0" fontId="0" fillId="0" borderId="0" xfId="0"/>
    <xf numFmtId="0" fontId="11" fillId="0" borderId="0" xfId="0" applyFont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2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1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2</xdr:row>
          <xdr:rowOff>114300</xdr:rowOff>
        </xdr:from>
        <xdr:to>
          <xdr:col>5</xdr:col>
          <xdr:colOff>542925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Fetch Information From Digikey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2</xdr:row>
          <xdr:rowOff>95250</xdr:rowOff>
        </xdr:from>
        <xdr:to>
          <xdr:col>9</xdr:col>
          <xdr:colOff>352425</xdr:colOff>
          <xdr:row>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Perform Stock Operations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1095375</xdr:colOff>
          <xdr:row>2</xdr:row>
          <xdr:rowOff>95250</xdr:rowOff>
        </xdr:from>
        <xdr:to>
          <xdr:col>12</xdr:col>
          <xdr:colOff>2124075</xdr:colOff>
          <xdr:row>4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Open Stock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1038225</xdr:colOff>
          <xdr:row>2</xdr:row>
          <xdr:rowOff>95250</xdr:rowOff>
        </xdr:from>
        <xdr:to>
          <xdr:col>11</xdr:col>
          <xdr:colOff>895350</xdr:colOff>
          <xdr:row>4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Take From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2</xdr:row>
          <xdr:rowOff>104775</xdr:rowOff>
        </xdr:from>
        <xdr:to>
          <xdr:col>7</xdr:col>
          <xdr:colOff>571500</xdr:colOff>
          <xdr:row>4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Sort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2371725</xdr:colOff>
          <xdr:row>2</xdr:row>
          <xdr:rowOff>95250</xdr:rowOff>
        </xdr:from>
        <xdr:to>
          <xdr:col>12</xdr:col>
          <xdr:colOff>3971925</xdr:colOff>
          <xdr:row>4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Random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2</xdr:row>
          <xdr:rowOff>85725</xdr:rowOff>
        </xdr:from>
        <xdr:to>
          <xdr:col>10</xdr:col>
          <xdr:colOff>838200</xdr:colOff>
          <xdr:row>4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Check with Kicad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RUM001L02T2CL/RUM001L02T2CLCT-ND/4571412" TargetMode="External"/><Relationship Id="rId18" Type="http://schemas.openxmlformats.org/officeDocument/2006/relationships/hyperlink" Target="http://www.digikey.com/product-detail/en/CL31A106KAHNNNE/1276-1075-1-ND/3889161" TargetMode="External"/><Relationship Id="rId26" Type="http://schemas.openxmlformats.org/officeDocument/2006/relationships/hyperlink" Target="http://www.digikey.com/product-detail/en/ERJ-3EKF4642V/P46.4KHCT-ND/198400" TargetMode="External"/><Relationship Id="rId39" Type="http://schemas.openxmlformats.org/officeDocument/2006/relationships/hyperlink" Target="http://www.digikey.com/product-detail/en/NR6028T4R7M/587-2100-1-ND/1866240" TargetMode="External"/><Relationship Id="rId21" Type="http://schemas.openxmlformats.org/officeDocument/2006/relationships/hyperlink" Target="http://www.digikey.com/product-detail/en/CL10B103KB8NCNC/1276-1921-1-ND/3890007" TargetMode="External"/><Relationship Id="rId34" Type="http://schemas.openxmlformats.org/officeDocument/2006/relationships/hyperlink" Target="http://www.digikey.com/product-detail/en/RC0603FR-07100RL/311-100HRCT-ND/729835" TargetMode="External"/><Relationship Id="rId42" Type="http://schemas.openxmlformats.org/officeDocument/2006/relationships/hyperlink" Target="http://www.digikey.com/product-detail/en/CL10C150JB8NNNC/1276-1296-1-ND/3889382" TargetMode="External"/><Relationship Id="rId47" Type="http://schemas.openxmlformats.org/officeDocument/2006/relationships/hyperlink" Target="http://www.digikey.com/product-detail/en/RG3216P-1001-B-T1/RG32P1.0KBCT-ND/2078593" TargetMode="External"/><Relationship Id="rId50" Type="http://schemas.openxmlformats.org/officeDocument/2006/relationships/hyperlink" Target="http://www.digikey.com/product-detail/en/RC0603FR-075K49L/311-5.49KHRCT-ND/730221" TargetMode="External"/><Relationship Id="rId55" Type="http://schemas.openxmlformats.org/officeDocument/2006/relationships/ctrlProp" Target="../ctrlProps/ctrlProp2.xml"/><Relationship Id="rId7" Type="http://schemas.openxmlformats.org/officeDocument/2006/relationships/hyperlink" Target="http://www.digikey.com/product-detail/en/CAT102TDI-GT3/CAT102TDI-GT3OSCT-ND/3487509" TargetMode="External"/><Relationship Id="rId2" Type="http://schemas.openxmlformats.org/officeDocument/2006/relationships/hyperlink" Target="http://www.digikey.com/product-detail/en/OPA365AIDBVR/296-20645-1-ND/1133683" TargetMode="External"/><Relationship Id="rId16" Type="http://schemas.openxmlformats.org/officeDocument/2006/relationships/hyperlink" Target="http://www.digikey.com/product-detail/en/CL21A106KOQNNNE/1276-1096-1-ND/3889182" TargetMode="External"/><Relationship Id="rId29" Type="http://schemas.openxmlformats.org/officeDocument/2006/relationships/hyperlink" Target="http://www.digikey.com/product-detail/en/RG1608P-103-B-T5/RG16P10.0KBCT-ND/1240835" TargetMode="External"/><Relationship Id="rId11" Type="http://schemas.openxmlformats.org/officeDocument/2006/relationships/hyperlink" Target="http://www.digikey.com/product-detail/en/BU-31607-2/314-1218-ND/2688311" TargetMode="External"/><Relationship Id="rId24" Type="http://schemas.openxmlformats.org/officeDocument/2006/relationships/hyperlink" Target="http://www.digikey.com/product-detail/en/ERJ-3EKF2553V/P255KHCT-ND/198279" TargetMode="External"/><Relationship Id="rId32" Type="http://schemas.openxmlformats.org/officeDocument/2006/relationships/hyperlink" Target="http://www.digikey.com/product-detail/en/ERA-3AEB102V/P1.0KDBCT-ND/1466052" TargetMode="External"/><Relationship Id="rId37" Type="http://schemas.openxmlformats.org/officeDocument/2006/relationships/hyperlink" Target="http://www.digikey.com/product-detail/en/CL10B222KB8SFNC/1276-1992-1-ND/3890078" TargetMode="External"/><Relationship Id="rId40" Type="http://schemas.openxmlformats.org/officeDocument/2006/relationships/hyperlink" Target="http://www.digikey.com/product-detail/en/ERA-3AEB122V/P1.2KDBCT-ND/1466054" TargetMode="External"/><Relationship Id="rId45" Type="http://schemas.openxmlformats.org/officeDocument/2006/relationships/hyperlink" Target="http://www.digikey.com/product-detail/en/ERJ-3EKF1201V/P1.20KHCT-ND/1746727" TargetMode="External"/><Relationship Id="rId53" Type="http://schemas.openxmlformats.org/officeDocument/2006/relationships/vmlDrawing" Target="../drawings/vmlDrawing1.vml"/><Relationship Id="rId58" Type="http://schemas.openxmlformats.org/officeDocument/2006/relationships/ctrlProp" Target="../ctrlProps/ctrlProp5.xml"/><Relationship Id="rId5" Type="http://schemas.openxmlformats.org/officeDocument/2006/relationships/hyperlink" Target="http://www.digikey.com/product-detail/en/LM4510SD%2FNOPB/LM4510SD%2FNOPBCT-ND/1679844" TargetMode="External"/><Relationship Id="rId19" Type="http://schemas.openxmlformats.org/officeDocument/2006/relationships/hyperlink" Target="http://www.digikey.com/product-detail/en/CL10B105KP8NNNC/1276-1946-1-ND/3890032" TargetMode="External"/><Relationship Id="rId4" Type="http://schemas.openxmlformats.org/officeDocument/2006/relationships/hyperlink" Target="http://www.digikey.com/product-detail/en/TPS7A4901DGNR/296-27751-1-ND/2361068" TargetMode="External"/><Relationship Id="rId9" Type="http://schemas.openxmlformats.org/officeDocument/2006/relationships/hyperlink" Target="http://www.digikey.com/product-detail/en/IP4234CZ6,125/568-5869-1-ND/2531156" TargetMode="External"/><Relationship Id="rId14" Type="http://schemas.openxmlformats.org/officeDocument/2006/relationships/hyperlink" Target="http://www.digikey.com/product-detail/en/PMEG2010AEH,115/568-4112-1-ND/1589927" TargetMode="External"/><Relationship Id="rId22" Type="http://schemas.openxmlformats.org/officeDocument/2006/relationships/hyperlink" Target="http://www.digikey.com/product-detail/en/CL10B472KB8SFNC/1276-2066-1-ND/3890152" TargetMode="External"/><Relationship Id="rId27" Type="http://schemas.openxmlformats.org/officeDocument/2006/relationships/hyperlink" Target="http://www.digikey.com/product-detail/en/RC0603FR-0720K5L/311-20.5KHRCT-ND/729989" TargetMode="External"/><Relationship Id="rId30" Type="http://schemas.openxmlformats.org/officeDocument/2006/relationships/hyperlink" Target="http://www.digikey.com/product-detail/en/RC0603FR-0710KL/311-10.0KHRCT-ND/729827" TargetMode="External"/><Relationship Id="rId35" Type="http://schemas.openxmlformats.org/officeDocument/2006/relationships/hyperlink" Target="http://www.digikey.com/product-detail/en/ERJ-3GEY0R00V/P0.0GCT-ND/134711" TargetMode="External"/><Relationship Id="rId43" Type="http://schemas.openxmlformats.org/officeDocument/2006/relationships/hyperlink" Target="http://www.digikey.com/product-detail/en/CM315D32768EZFT/300-8816-1-ND/3641389" TargetMode="External"/><Relationship Id="rId48" Type="http://schemas.openxmlformats.org/officeDocument/2006/relationships/hyperlink" Target="http://www.digikey.com/product-detail/en/SN74LVC1G08DCKR/296-11602-1-ND/385741" TargetMode="External"/><Relationship Id="rId56" Type="http://schemas.openxmlformats.org/officeDocument/2006/relationships/ctrlProp" Target="../ctrlProps/ctrlProp3.xml"/><Relationship Id="rId8" Type="http://schemas.openxmlformats.org/officeDocument/2006/relationships/hyperlink" Target="http://www.digikey.com/product-detail/en/ATXMEGA16A4U-MHR/ATXMEGA16A4U-MHRCT-ND/3441033" TargetMode="External"/><Relationship Id="rId51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MAX44284HAUT%2BT/MAX44284HAUT%2BTCT-ND/4967871" TargetMode="External"/><Relationship Id="rId12" Type="http://schemas.openxmlformats.org/officeDocument/2006/relationships/hyperlink" Target="http://www.digikey.com/product-detail/en/BU-31607-0/314-1217-ND/2688310" TargetMode="External"/><Relationship Id="rId17" Type="http://schemas.openxmlformats.org/officeDocument/2006/relationships/hyperlink" Target="http://www.digikey.com/product-detail/en/PESD24VU1UT,215/568-4039-1-ND/1530829" TargetMode="External"/><Relationship Id="rId25" Type="http://schemas.openxmlformats.org/officeDocument/2006/relationships/hyperlink" Target="http://www.digikey.com/product-detail/en/RG1608P-104-B-T5/RG16P100KBCT-ND/1240836" TargetMode="External"/><Relationship Id="rId33" Type="http://schemas.openxmlformats.org/officeDocument/2006/relationships/hyperlink" Target="http://www.digikey.com/product-detail/en/PRG3216P-4700-B-T5/408-1862-1-ND/4917843" TargetMode="External"/><Relationship Id="rId38" Type="http://schemas.openxmlformats.org/officeDocument/2006/relationships/hyperlink" Target="http://www.digikey.com/product-detail/en/CL10C101JB8NNNC/1276-1008-1-ND/3889094" TargetMode="External"/><Relationship Id="rId46" Type="http://schemas.openxmlformats.org/officeDocument/2006/relationships/hyperlink" Target="http://www.digikey.com/product-detail/en/TLV3502AIDCNT/296-18147-1-ND/773322" TargetMode="External"/><Relationship Id="rId59" Type="http://schemas.openxmlformats.org/officeDocument/2006/relationships/ctrlProp" Target="../ctrlProps/ctrlProp6.xml"/><Relationship Id="rId20" Type="http://schemas.openxmlformats.org/officeDocument/2006/relationships/hyperlink" Target="http://www.digikey.com/product-detail/en/CL10B104KB8NNNC/1276-1000-1-ND/3889086" TargetMode="External"/><Relationship Id="rId41" Type="http://schemas.openxmlformats.org/officeDocument/2006/relationships/hyperlink" Target="http://www.digikey.com/product-detail/en/SI2301BDS-T1-E3/SI2301BDS-T1-E3CT-ND/1656835" TargetMode="External"/><Relationship Id="rId54" Type="http://schemas.openxmlformats.org/officeDocument/2006/relationships/ctrlProp" Target="../ctrlProps/ctrlProp1.xml"/><Relationship Id="rId1" Type="http://schemas.openxmlformats.org/officeDocument/2006/relationships/hyperlink" Target="http://www.digikey.com/product-detail/en/ADG804YRMZ-REEL7/ADG804YRMZ-REEL7CT-ND/3674772" TargetMode="External"/><Relationship Id="rId6" Type="http://schemas.openxmlformats.org/officeDocument/2006/relationships/hyperlink" Target="http://www.digikey.com/product-detail/en/TS3431CILT/497-4637-1-ND/806501" TargetMode="External"/><Relationship Id="rId15" Type="http://schemas.openxmlformats.org/officeDocument/2006/relationships/hyperlink" Target="http://www.digikey.com/product-detail/en/UWT1E331MNL1GS/493-2193-1-ND/590168" TargetMode="External"/><Relationship Id="rId23" Type="http://schemas.openxmlformats.org/officeDocument/2006/relationships/hyperlink" Target="http://www.digikey.com/product-detail/en/ERJ-3GEYJ105V/P1.0MGCT-ND/134885" TargetMode="External"/><Relationship Id="rId28" Type="http://schemas.openxmlformats.org/officeDocument/2006/relationships/hyperlink" Target="http://www.digikey.com/product-detail/en/ERA-3AEB153V/P15KDBCT-ND/1466080" TargetMode="External"/><Relationship Id="rId36" Type="http://schemas.openxmlformats.org/officeDocument/2006/relationships/hyperlink" Target="http://www.digikey.com/product-detail/en/MPZ1608S221ATA00/445-1565-1-ND/571895" TargetMode="External"/><Relationship Id="rId49" Type="http://schemas.openxmlformats.org/officeDocument/2006/relationships/hyperlink" Target="http://www.digikey.com/product-detail/en/ERJ-3EKF1001V/P1.00KHCT-ND/198071" TargetMode="External"/><Relationship Id="rId57" Type="http://schemas.openxmlformats.org/officeDocument/2006/relationships/ctrlProp" Target="../ctrlProps/ctrlProp4.xml"/><Relationship Id="rId10" Type="http://schemas.openxmlformats.org/officeDocument/2006/relationships/hyperlink" Target="http://www.digikey.com/product-detail/en/10118194-0001LF/609-4618-1-ND/2785382" TargetMode="External"/><Relationship Id="rId31" Type="http://schemas.openxmlformats.org/officeDocument/2006/relationships/hyperlink" Target="http://www.digikey.com/product-detail/en/ERJ-3EKF2151V/P2.15KHCT-ND/198222" TargetMode="External"/><Relationship Id="rId44" Type="http://schemas.openxmlformats.org/officeDocument/2006/relationships/hyperlink" Target="http://www.digikey.com/product-detail/en/RC0603FR-0715KL/311-15.0KHRCT-ND/729900" TargetMode="External"/><Relationship Id="rId52" Type="http://schemas.openxmlformats.org/officeDocument/2006/relationships/drawing" Target="../drawings/drawing1.xml"/><Relationship Id="rId60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P70"/>
  <sheetViews>
    <sheetView tabSelected="1" zoomScale="115" zoomScaleNormal="115" workbookViewId="0">
      <selection activeCell="D8" sqref="D8"/>
    </sheetView>
  </sheetViews>
  <sheetFormatPr defaultColWidth="11.5703125" defaultRowHeight="15" x14ac:dyDescent="0.25"/>
  <cols>
    <col min="1" max="1" width="1.85546875" customWidth="1"/>
    <col min="2" max="2" width="5.140625" customWidth="1"/>
    <col min="3" max="3" width="35" customWidth="1"/>
    <col min="4" max="4" width="5.85546875" customWidth="1"/>
    <col min="5" max="5" width="10.7109375" customWidth="1"/>
    <col min="6" max="6" width="10.85546875" bestFit="1" customWidth="1"/>
    <col min="7" max="7" width="11.85546875" bestFit="1" customWidth="1"/>
    <col min="8" max="8" width="13.85546875" customWidth="1"/>
    <col min="9" max="9" width="30.85546875" customWidth="1"/>
    <col min="10" max="10" width="19.7109375" customWidth="1"/>
    <col min="11" max="11" width="32.5703125" bestFit="1" customWidth="1"/>
    <col min="12" max="12" width="17.42578125" customWidth="1"/>
    <col min="13" max="13" width="94" bestFit="1" customWidth="1"/>
    <col min="14" max="14" width="22.85546875" bestFit="1" customWidth="1"/>
    <col min="15" max="15" width="54.7109375" customWidth="1"/>
    <col min="16" max="16" width="10.140625" customWidth="1"/>
  </cols>
  <sheetData>
    <row r="2" spans="1:16" ht="28.5" x14ac:dyDescent="0.35">
      <c r="B2" s="158" t="s">
        <v>20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"/>
      <c r="O2" s="1"/>
      <c r="P2" s="1"/>
    </row>
    <row r="3" spans="1:16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6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6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6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6" ht="15.75" thickBot="1" x14ac:dyDescent="0.3">
      <c r="B7" s="2"/>
      <c r="C7" s="21" t="s">
        <v>8</v>
      </c>
      <c r="D7" s="21">
        <v>100</v>
      </c>
      <c r="E7" s="2"/>
      <c r="F7" s="2"/>
      <c r="G7" s="2"/>
      <c r="H7" s="2"/>
      <c r="I7" s="2"/>
      <c r="J7" s="2"/>
      <c r="K7" s="2"/>
      <c r="L7" s="2"/>
      <c r="M7" s="2"/>
    </row>
    <row r="8" spans="1:16" ht="19.5" customHeight="1" thickBot="1" x14ac:dyDescent="0.3">
      <c r="B8" s="23" t="s">
        <v>0</v>
      </c>
      <c r="C8" s="22" t="s">
        <v>7</v>
      </c>
      <c r="D8" s="22" t="s">
        <v>1</v>
      </c>
      <c r="E8" s="24" t="s">
        <v>9</v>
      </c>
      <c r="F8" s="25" t="s">
        <v>18</v>
      </c>
      <c r="G8" s="25" t="s">
        <v>17</v>
      </c>
      <c r="H8" s="25" t="s">
        <v>19</v>
      </c>
      <c r="I8" s="25" t="s">
        <v>2</v>
      </c>
      <c r="J8" s="25" t="s">
        <v>3</v>
      </c>
      <c r="K8" s="25" t="s">
        <v>4</v>
      </c>
      <c r="L8" s="25" t="s">
        <v>6</v>
      </c>
      <c r="M8" s="25" t="s">
        <v>5</v>
      </c>
      <c r="N8" s="25" t="s">
        <v>21</v>
      </c>
      <c r="O8" s="26" t="s">
        <v>22</v>
      </c>
      <c r="P8" s="27" t="s">
        <v>23</v>
      </c>
    </row>
    <row r="9" spans="1:16" x14ac:dyDescent="0.25">
      <c r="A9" s="4"/>
      <c r="B9" s="51">
        <v>1</v>
      </c>
      <c r="C9" s="52" t="s">
        <v>42</v>
      </c>
      <c r="D9" s="53">
        <v>1</v>
      </c>
      <c r="E9" s="54">
        <v>2.4824000000000002</v>
      </c>
      <c r="F9" s="55">
        <f>D9*E9</f>
        <v>2.4824000000000002</v>
      </c>
      <c r="G9" s="56">
        <v>0</v>
      </c>
      <c r="H9" s="57">
        <v>2775</v>
      </c>
      <c r="I9" s="58" t="s">
        <v>31</v>
      </c>
      <c r="J9" s="58" t="s">
        <v>30</v>
      </c>
      <c r="K9" s="59" t="s">
        <v>302</v>
      </c>
      <c r="L9" s="58" t="s">
        <v>34</v>
      </c>
      <c r="M9" s="60" t="s">
        <v>24</v>
      </c>
      <c r="N9" s="58" t="s">
        <v>32</v>
      </c>
      <c r="O9" s="59" t="s">
        <v>33</v>
      </c>
      <c r="P9" s="61"/>
    </row>
    <row r="10" spans="1:16" x14ac:dyDescent="0.25">
      <c r="A10" s="4"/>
      <c r="B10" s="62">
        <v>2</v>
      </c>
      <c r="C10" s="63" t="s">
        <v>43</v>
      </c>
      <c r="D10" s="64">
        <v>1</v>
      </c>
      <c r="E10" s="65">
        <v>1.35</v>
      </c>
      <c r="F10" s="66">
        <f>D10*E10</f>
        <v>1.35</v>
      </c>
      <c r="G10" s="67">
        <v>0</v>
      </c>
      <c r="H10" s="68">
        <v>12525</v>
      </c>
      <c r="I10" s="69" t="s">
        <v>37</v>
      </c>
      <c r="J10" s="70" t="s">
        <v>36</v>
      </c>
      <c r="K10" s="69" t="s">
        <v>35</v>
      </c>
      <c r="L10" s="69" t="s">
        <v>39</v>
      </c>
      <c r="M10" s="71" t="s">
        <v>25</v>
      </c>
      <c r="N10" s="70" t="s">
        <v>32</v>
      </c>
      <c r="O10" s="69" t="s">
        <v>38</v>
      </c>
      <c r="P10" s="72"/>
    </row>
    <row r="11" spans="1:16" x14ac:dyDescent="0.25">
      <c r="A11" s="4"/>
      <c r="B11" s="62">
        <v>3</v>
      </c>
      <c r="C11" s="63" t="s">
        <v>45</v>
      </c>
      <c r="D11" s="64">
        <v>1</v>
      </c>
      <c r="E11" s="65">
        <v>1.4637</v>
      </c>
      <c r="F11" s="66">
        <f>D11*E11</f>
        <v>1.4637</v>
      </c>
      <c r="G11" s="67">
        <v>0</v>
      </c>
      <c r="H11" s="68">
        <v>74</v>
      </c>
      <c r="I11" s="69" t="s">
        <v>64</v>
      </c>
      <c r="J11" s="69" t="s">
        <v>63</v>
      </c>
      <c r="K11" s="73" t="s">
        <v>62</v>
      </c>
      <c r="L11" s="69" t="s">
        <v>65</v>
      </c>
      <c r="M11" s="74" t="s">
        <v>27</v>
      </c>
      <c r="N11" s="69" t="s">
        <v>32</v>
      </c>
      <c r="O11" s="73" t="s">
        <v>38</v>
      </c>
      <c r="P11" s="72"/>
    </row>
    <row r="12" spans="1:16" x14ac:dyDescent="0.25">
      <c r="A12" s="4"/>
      <c r="B12" s="62">
        <v>4</v>
      </c>
      <c r="C12" s="63" t="s">
        <v>44</v>
      </c>
      <c r="D12" s="64">
        <v>2</v>
      </c>
      <c r="E12" s="65">
        <v>2.29</v>
      </c>
      <c r="F12" s="66">
        <f>D12*E12</f>
        <v>4.58</v>
      </c>
      <c r="G12" s="67">
        <v>0</v>
      </c>
      <c r="H12" s="68">
        <v>14680</v>
      </c>
      <c r="I12" s="69" t="s">
        <v>60</v>
      </c>
      <c r="J12" s="69" t="s">
        <v>59</v>
      </c>
      <c r="K12" s="73" t="s">
        <v>35</v>
      </c>
      <c r="L12" s="69" t="s">
        <v>61</v>
      </c>
      <c r="M12" s="74" t="s">
        <v>26</v>
      </c>
      <c r="N12" s="69" t="s">
        <v>32</v>
      </c>
      <c r="O12" s="73" t="s">
        <v>307</v>
      </c>
      <c r="P12" s="72"/>
    </row>
    <row r="13" spans="1:16" x14ac:dyDescent="0.25">
      <c r="A13" s="4"/>
      <c r="B13" s="62">
        <v>5</v>
      </c>
      <c r="C13" s="63" t="s">
        <v>46</v>
      </c>
      <c r="D13" s="64">
        <v>1</v>
      </c>
      <c r="E13" s="65">
        <v>1.02</v>
      </c>
      <c r="F13" s="66">
        <f>D13*E13</f>
        <v>1.02</v>
      </c>
      <c r="G13" s="67">
        <v>0</v>
      </c>
      <c r="H13" s="68">
        <v>10071</v>
      </c>
      <c r="I13" s="69" t="s">
        <v>268</v>
      </c>
      <c r="J13" s="69" t="s">
        <v>72</v>
      </c>
      <c r="K13" s="73" t="s">
        <v>35</v>
      </c>
      <c r="L13" s="69" t="s">
        <v>74</v>
      </c>
      <c r="M13" s="74" t="s">
        <v>29</v>
      </c>
      <c r="N13" s="69" t="s">
        <v>32</v>
      </c>
      <c r="O13" s="73" t="s">
        <v>73</v>
      </c>
      <c r="P13" s="72"/>
    </row>
    <row r="14" spans="1:16" x14ac:dyDescent="0.25">
      <c r="A14" s="4"/>
      <c r="B14" s="62">
        <v>6</v>
      </c>
      <c r="C14" s="63" t="s">
        <v>47</v>
      </c>
      <c r="D14" s="64">
        <v>1</v>
      </c>
      <c r="E14" s="65">
        <v>0.3584</v>
      </c>
      <c r="F14" s="66">
        <f>D14*E14</f>
        <v>0.3584</v>
      </c>
      <c r="G14" s="67">
        <v>0</v>
      </c>
      <c r="H14" s="68">
        <v>10944</v>
      </c>
      <c r="I14" s="69" t="s">
        <v>77</v>
      </c>
      <c r="J14" s="69" t="s">
        <v>76</v>
      </c>
      <c r="K14" s="73" t="s">
        <v>75</v>
      </c>
      <c r="L14" s="69" t="s">
        <v>79</v>
      </c>
      <c r="M14" s="74" t="s">
        <v>40</v>
      </c>
      <c r="N14" s="69" t="s">
        <v>32</v>
      </c>
      <c r="O14" s="73" t="s">
        <v>78</v>
      </c>
      <c r="P14" s="72"/>
    </row>
    <row r="15" spans="1:16" x14ac:dyDescent="0.25">
      <c r="A15" s="4"/>
      <c r="B15" s="62">
        <v>7</v>
      </c>
      <c r="C15" s="63" t="s">
        <v>115</v>
      </c>
      <c r="D15" s="64">
        <v>1</v>
      </c>
      <c r="E15" s="65">
        <v>0.80579999999999996</v>
      </c>
      <c r="F15" s="66">
        <f>D15*E15</f>
        <v>0.80579999999999996</v>
      </c>
      <c r="G15" s="67">
        <v>0</v>
      </c>
      <c r="H15" s="68">
        <v>10801</v>
      </c>
      <c r="I15" s="69" t="s">
        <v>128</v>
      </c>
      <c r="J15" s="69" t="s">
        <v>127</v>
      </c>
      <c r="K15" s="73" t="s">
        <v>126</v>
      </c>
      <c r="L15" s="69" t="s">
        <v>129</v>
      </c>
      <c r="M15" s="74" t="s">
        <v>125</v>
      </c>
      <c r="N15" s="69" t="s">
        <v>32</v>
      </c>
      <c r="O15" s="73" t="s">
        <v>78</v>
      </c>
      <c r="P15" s="72"/>
    </row>
    <row r="16" spans="1:16" x14ac:dyDescent="0.25">
      <c r="A16" s="4"/>
      <c r="B16" s="62">
        <v>8</v>
      </c>
      <c r="C16" s="63" t="s">
        <v>48</v>
      </c>
      <c r="D16" s="64">
        <v>1</v>
      </c>
      <c r="E16" s="65">
        <v>2.5497999999999998</v>
      </c>
      <c r="F16" s="66">
        <f>D16*E16</f>
        <v>2.5497999999999998</v>
      </c>
      <c r="G16" s="67">
        <v>0</v>
      </c>
      <c r="H16" s="68">
        <v>9928</v>
      </c>
      <c r="I16" s="69" t="s">
        <v>82</v>
      </c>
      <c r="J16" s="69" t="s">
        <v>81</v>
      </c>
      <c r="K16" s="73" t="s">
        <v>80</v>
      </c>
      <c r="L16" s="69" t="s">
        <v>84</v>
      </c>
      <c r="M16" s="71" t="s">
        <v>41</v>
      </c>
      <c r="N16" s="69" t="s">
        <v>32</v>
      </c>
      <c r="O16" s="73" t="s">
        <v>83</v>
      </c>
      <c r="P16" s="75"/>
    </row>
    <row r="17" spans="1:16" s="157" customFormat="1" x14ac:dyDescent="0.25">
      <c r="A17" s="4"/>
      <c r="B17" s="62">
        <v>9</v>
      </c>
      <c r="C17" s="63" t="s">
        <v>267</v>
      </c>
      <c r="D17" s="64">
        <v>1</v>
      </c>
      <c r="E17" s="65">
        <v>3.13</v>
      </c>
      <c r="F17" s="66">
        <f>D17*E17</f>
        <v>3.13</v>
      </c>
      <c r="G17" s="67"/>
      <c r="H17" s="68">
        <v>10217</v>
      </c>
      <c r="I17" s="69" t="s">
        <v>270</v>
      </c>
      <c r="J17" s="69" t="s">
        <v>269</v>
      </c>
      <c r="K17" s="73" t="s">
        <v>35</v>
      </c>
      <c r="L17" s="69" t="s">
        <v>272</v>
      </c>
      <c r="M17" s="71" t="s">
        <v>262</v>
      </c>
      <c r="N17" s="69" t="s">
        <v>32</v>
      </c>
      <c r="O17" s="73" t="s">
        <v>271</v>
      </c>
      <c r="P17" s="75"/>
    </row>
    <row r="18" spans="1:16" s="157" customFormat="1" ht="22.5" x14ac:dyDescent="0.25">
      <c r="A18" s="4"/>
      <c r="B18" s="62">
        <v>10</v>
      </c>
      <c r="C18" s="63" t="s">
        <v>285</v>
      </c>
      <c r="D18" s="64">
        <v>1</v>
      </c>
      <c r="E18" s="65">
        <v>0.13400000000000001</v>
      </c>
      <c r="F18" s="66">
        <f>D18*E18</f>
        <v>0.13400000000000001</v>
      </c>
      <c r="G18" s="67"/>
      <c r="H18" s="68">
        <v>21783</v>
      </c>
      <c r="I18" s="69" t="s">
        <v>292</v>
      </c>
      <c r="J18" s="69" t="s">
        <v>291</v>
      </c>
      <c r="K18" s="73" t="s">
        <v>35</v>
      </c>
      <c r="L18" s="69" t="s">
        <v>294</v>
      </c>
      <c r="M18" s="71" t="s">
        <v>284</v>
      </c>
      <c r="N18" s="69" t="s">
        <v>32</v>
      </c>
      <c r="O18" s="73" t="s">
        <v>293</v>
      </c>
      <c r="P18" s="75"/>
    </row>
    <row r="19" spans="1:16" x14ac:dyDescent="0.25">
      <c r="A19" s="4"/>
      <c r="B19" s="76">
        <v>11</v>
      </c>
      <c r="C19" s="77" t="s">
        <v>124</v>
      </c>
      <c r="D19" s="78">
        <v>2</v>
      </c>
      <c r="E19" s="79">
        <v>0.23050000000000001</v>
      </c>
      <c r="F19" s="80">
        <f>D19*E19</f>
        <v>0.46100000000000002</v>
      </c>
      <c r="G19" s="67">
        <v>0</v>
      </c>
      <c r="H19" s="81">
        <v>10598</v>
      </c>
      <c r="I19" s="82" t="s">
        <v>68</v>
      </c>
      <c r="J19" s="82" t="s">
        <v>67</v>
      </c>
      <c r="K19" s="83" t="s">
        <v>66</v>
      </c>
      <c r="L19" s="82" t="s">
        <v>71</v>
      </c>
      <c r="M19" s="84" t="s">
        <v>28</v>
      </c>
      <c r="N19" s="82" t="s">
        <v>69</v>
      </c>
      <c r="O19" s="83" t="s">
        <v>70</v>
      </c>
      <c r="P19" s="85"/>
    </row>
    <row r="20" spans="1:16" x14ac:dyDescent="0.25">
      <c r="A20" s="4"/>
      <c r="B20" s="76">
        <v>12</v>
      </c>
      <c r="C20" s="77" t="s">
        <v>117</v>
      </c>
      <c r="D20" s="78">
        <v>1</v>
      </c>
      <c r="E20" s="79">
        <v>0.26329999999999998</v>
      </c>
      <c r="F20" s="80">
        <f>D20*E20</f>
        <v>0.26329999999999998</v>
      </c>
      <c r="G20" s="67">
        <v>0</v>
      </c>
      <c r="H20" s="81">
        <v>49052</v>
      </c>
      <c r="I20" s="82" t="s">
        <v>122</v>
      </c>
      <c r="J20" s="82" t="s">
        <v>121</v>
      </c>
      <c r="K20" s="83" t="s">
        <v>66</v>
      </c>
      <c r="L20" s="82" t="s">
        <v>123</v>
      </c>
      <c r="M20" s="84" t="s">
        <v>116</v>
      </c>
      <c r="N20" s="82" t="s">
        <v>69</v>
      </c>
      <c r="O20" s="83" t="s">
        <v>70</v>
      </c>
      <c r="P20" s="145"/>
    </row>
    <row r="21" spans="1:16" ht="45" x14ac:dyDescent="0.25">
      <c r="A21" s="4"/>
      <c r="B21" s="86">
        <v>13</v>
      </c>
      <c r="C21" s="87" t="s">
        <v>50</v>
      </c>
      <c r="D21" s="88">
        <v>1</v>
      </c>
      <c r="E21" s="89">
        <v>0.30320000000000003</v>
      </c>
      <c r="F21" s="90">
        <f>D21*E21</f>
        <v>0.30320000000000003</v>
      </c>
      <c r="G21" s="67">
        <v>0</v>
      </c>
      <c r="H21" s="91">
        <v>88133</v>
      </c>
      <c r="I21" s="92" t="s">
        <v>318</v>
      </c>
      <c r="J21" s="92" t="s">
        <v>86</v>
      </c>
      <c r="K21" s="93" t="s">
        <v>85</v>
      </c>
      <c r="L21" s="92"/>
      <c r="M21" s="146" t="s">
        <v>49</v>
      </c>
      <c r="N21" s="92" t="s">
        <v>87</v>
      </c>
      <c r="O21" s="93" t="s">
        <v>88</v>
      </c>
      <c r="P21" s="94"/>
    </row>
    <row r="22" spans="1:16" x14ac:dyDescent="0.25">
      <c r="A22" s="4"/>
      <c r="B22" s="86">
        <v>14</v>
      </c>
      <c r="C22" s="87" t="s">
        <v>317</v>
      </c>
      <c r="D22" s="88">
        <v>2</v>
      </c>
      <c r="E22" s="89">
        <v>4.5</v>
      </c>
      <c r="F22" s="90">
        <f>D22*E22</f>
        <v>9</v>
      </c>
      <c r="G22" s="67">
        <v>0</v>
      </c>
      <c r="H22" s="91">
        <v>147</v>
      </c>
      <c r="I22" s="92" t="s">
        <v>134</v>
      </c>
      <c r="J22" s="92" t="s">
        <v>133</v>
      </c>
      <c r="K22" s="93" t="s">
        <v>132</v>
      </c>
      <c r="L22" s="92"/>
      <c r="M22" s="146" t="s">
        <v>130</v>
      </c>
      <c r="N22" s="92" t="s">
        <v>87</v>
      </c>
      <c r="O22" s="93" t="s">
        <v>135</v>
      </c>
      <c r="P22" s="94"/>
    </row>
    <row r="23" spans="1:16" x14ac:dyDescent="0.25">
      <c r="A23" s="4"/>
      <c r="B23" s="86">
        <v>15</v>
      </c>
      <c r="C23" s="87" t="s">
        <v>317</v>
      </c>
      <c r="D23" s="88">
        <v>2</v>
      </c>
      <c r="E23" s="89">
        <v>4.5</v>
      </c>
      <c r="F23" s="90">
        <f>D23*E23</f>
        <v>9</v>
      </c>
      <c r="G23" s="67">
        <v>0</v>
      </c>
      <c r="H23" s="91">
        <v>182</v>
      </c>
      <c r="I23" s="92" t="s">
        <v>137</v>
      </c>
      <c r="J23" s="92" t="s">
        <v>136</v>
      </c>
      <c r="K23" s="93" t="s">
        <v>132</v>
      </c>
      <c r="L23" s="92"/>
      <c r="M23" s="146" t="s">
        <v>131</v>
      </c>
      <c r="N23" s="92" t="s">
        <v>87</v>
      </c>
      <c r="O23" s="93" t="s">
        <v>135</v>
      </c>
      <c r="P23" s="94"/>
    </row>
    <row r="24" spans="1:16" s="157" customFormat="1" ht="22.5" x14ac:dyDescent="0.25">
      <c r="A24" s="4"/>
      <c r="B24" s="95">
        <v>16</v>
      </c>
      <c r="C24" s="96" t="s">
        <v>248</v>
      </c>
      <c r="D24" s="97">
        <v>1</v>
      </c>
      <c r="E24" s="98">
        <v>0.2117</v>
      </c>
      <c r="F24" s="99">
        <f>D24*E24</f>
        <v>0.2117</v>
      </c>
      <c r="G24" s="67">
        <v>0</v>
      </c>
      <c r="H24" s="100">
        <v>109281</v>
      </c>
      <c r="I24" s="101" t="s">
        <v>226</v>
      </c>
      <c r="J24" s="101" t="s">
        <v>225</v>
      </c>
      <c r="K24" s="102" t="s">
        <v>224</v>
      </c>
      <c r="L24" s="101" t="s">
        <v>227</v>
      </c>
      <c r="M24" s="103" t="s">
        <v>221</v>
      </c>
      <c r="N24" s="101" t="s">
        <v>92</v>
      </c>
      <c r="O24" s="102" t="s">
        <v>93</v>
      </c>
      <c r="P24" s="104"/>
    </row>
    <row r="25" spans="1:16" ht="22.5" x14ac:dyDescent="0.25">
      <c r="A25" s="4"/>
      <c r="B25" s="95">
        <v>17</v>
      </c>
      <c r="C25" s="96" t="s">
        <v>265</v>
      </c>
      <c r="D25" s="97">
        <v>4</v>
      </c>
      <c r="E25" s="98">
        <v>0.14680000000000001</v>
      </c>
      <c r="F25" s="99">
        <f>D25*E25</f>
        <v>0.58720000000000006</v>
      </c>
      <c r="G25" s="67">
        <v>0</v>
      </c>
      <c r="H25" s="100">
        <v>20844</v>
      </c>
      <c r="I25" s="101" t="s">
        <v>91</v>
      </c>
      <c r="J25" s="101" t="s">
        <v>90</v>
      </c>
      <c r="K25" s="102" t="s">
        <v>89</v>
      </c>
      <c r="L25" s="101" t="s">
        <v>94</v>
      </c>
      <c r="M25" s="103" t="s">
        <v>58</v>
      </c>
      <c r="N25" s="101" t="s">
        <v>92</v>
      </c>
      <c r="O25" s="102" t="s">
        <v>93</v>
      </c>
      <c r="P25" s="104"/>
    </row>
    <row r="26" spans="1:16" ht="43.9" customHeight="1" x14ac:dyDescent="0.25">
      <c r="A26" s="4"/>
      <c r="B26" s="95">
        <v>18</v>
      </c>
      <c r="C26" s="96" t="s">
        <v>244</v>
      </c>
      <c r="D26" s="97">
        <v>1</v>
      </c>
      <c r="E26" s="98">
        <v>0.2102</v>
      </c>
      <c r="F26" s="99">
        <f>D26*E26</f>
        <v>0.2102</v>
      </c>
      <c r="G26" s="67">
        <v>0</v>
      </c>
      <c r="H26" s="100">
        <v>189027</v>
      </c>
      <c r="I26" s="101" t="s">
        <v>236</v>
      </c>
      <c r="J26" s="101" t="s">
        <v>235</v>
      </c>
      <c r="K26" s="102" t="s">
        <v>66</v>
      </c>
      <c r="L26" s="101" t="s">
        <v>238</v>
      </c>
      <c r="M26" s="103" t="s">
        <v>222</v>
      </c>
      <c r="N26" s="101" t="s">
        <v>92</v>
      </c>
      <c r="O26" s="102" t="s">
        <v>237</v>
      </c>
      <c r="P26" s="104"/>
    </row>
    <row r="27" spans="1:16" s="157" customFormat="1" ht="45" x14ac:dyDescent="0.25">
      <c r="A27" s="4"/>
      <c r="B27" s="105">
        <v>19</v>
      </c>
      <c r="C27" s="106" t="s">
        <v>51</v>
      </c>
      <c r="D27" s="107">
        <v>1</v>
      </c>
      <c r="E27" s="108">
        <v>0.62549999999999994</v>
      </c>
      <c r="F27" s="109">
        <f>D27*E27</f>
        <v>0.62549999999999994</v>
      </c>
      <c r="G27" s="67">
        <v>0</v>
      </c>
      <c r="H27" s="110">
        <v>15064</v>
      </c>
      <c r="I27" s="111" t="s">
        <v>319</v>
      </c>
      <c r="J27" s="111" t="s">
        <v>95</v>
      </c>
      <c r="K27" s="112" t="s">
        <v>228</v>
      </c>
      <c r="L27" s="111" t="s">
        <v>98</v>
      </c>
      <c r="M27" s="113" t="s">
        <v>52</v>
      </c>
      <c r="N27" s="111" t="s">
        <v>96</v>
      </c>
      <c r="O27" s="112" t="s">
        <v>97</v>
      </c>
      <c r="P27" s="114" t="s">
        <v>56</v>
      </c>
    </row>
    <row r="28" spans="1:16" x14ac:dyDescent="0.25">
      <c r="A28" s="4"/>
      <c r="B28" s="115">
        <v>20</v>
      </c>
      <c r="C28" s="116" t="s">
        <v>240</v>
      </c>
      <c r="D28" s="117">
        <v>1</v>
      </c>
      <c r="E28" s="118">
        <v>0.2387</v>
      </c>
      <c r="F28" s="119">
        <f>D28*E28</f>
        <v>0.2387</v>
      </c>
      <c r="G28" s="67">
        <v>0</v>
      </c>
      <c r="H28" s="120">
        <v>40636</v>
      </c>
      <c r="I28" s="121" t="s">
        <v>231</v>
      </c>
      <c r="J28" s="121" t="s">
        <v>230</v>
      </c>
      <c r="K28" s="122" t="s">
        <v>229</v>
      </c>
      <c r="L28" s="121" t="s">
        <v>234</v>
      </c>
      <c r="M28" s="123" t="s">
        <v>223</v>
      </c>
      <c r="N28" s="121" t="s">
        <v>100</v>
      </c>
      <c r="O28" s="122" t="s">
        <v>232</v>
      </c>
      <c r="P28" s="124" t="s">
        <v>233</v>
      </c>
    </row>
    <row r="29" spans="1:16" x14ac:dyDescent="0.25">
      <c r="A29" s="4"/>
      <c r="B29" s="115">
        <v>21</v>
      </c>
      <c r="C29" s="116" t="s">
        <v>241</v>
      </c>
      <c r="D29" s="117">
        <v>8</v>
      </c>
      <c r="E29" s="118">
        <v>6.2260000000000003E-2</v>
      </c>
      <c r="F29" s="119">
        <f>D29*E29</f>
        <v>0.49808000000000002</v>
      </c>
      <c r="G29" s="67">
        <v>0</v>
      </c>
      <c r="H29" s="120">
        <v>362972</v>
      </c>
      <c r="I29" s="121" t="s">
        <v>308</v>
      </c>
      <c r="J29" s="121" t="s">
        <v>102</v>
      </c>
      <c r="K29" s="122" t="s">
        <v>303</v>
      </c>
      <c r="L29" s="121" t="s">
        <v>103</v>
      </c>
      <c r="M29" s="123" t="s">
        <v>54</v>
      </c>
      <c r="N29" s="121" t="s">
        <v>100</v>
      </c>
      <c r="O29" s="122" t="s">
        <v>101</v>
      </c>
      <c r="P29" s="124" t="s">
        <v>57</v>
      </c>
    </row>
    <row r="30" spans="1:16" x14ac:dyDescent="0.25">
      <c r="A30" s="4"/>
      <c r="B30" s="115">
        <v>22</v>
      </c>
      <c r="C30" s="116" t="s">
        <v>118</v>
      </c>
      <c r="D30" s="117">
        <v>5</v>
      </c>
      <c r="E30" s="118">
        <v>6.7580000000000001E-2</v>
      </c>
      <c r="F30" s="119">
        <f>D30*E30</f>
        <v>0.33789999999999998</v>
      </c>
      <c r="G30" s="67">
        <v>0</v>
      </c>
      <c r="H30" s="120">
        <v>329508</v>
      </c>
      <c r="I30" s="121" t="s">
        <v>309</v>
      </c>
      <c r="J30" s="121" t="s">
        <v>99</v>
      </c>
      <c r="K30" s="122" t="s">
        <v>303</v>
      </c>
      <c r="L30" s="121" t="s">
        <v>98</v>
      </c>
      <c r="M30" s="123" t="s">
        <v>53</v>
      </c>
      <c r="N30" s="121" t="s">
        <v>100</v>
      </c>
      <c r="O30" s="122" t="s">
        <v>101</v>
      </c>
      <c r="P30" s="124" t="s">
        <v>57</v>
      </c>
    </row>
    <row r="31" spans="1:16" x14ac:dyDescent="0.25">
      <c r="A31" s="4"/>
      <c r="B31" s="115">
        <v>23</v>
      </c>
      <c r="C31" s="116" t="s">
        <v>148</v>
      </c>
      <c r="D31" s="117">
        <v>3</v>
      </c>
      <c r="E31" s="118">
        <v>1.8700000000000001E-2</v>
      </c>
      <c r="F31" s="119">
        <f>D31*E31</f>
        <v>5.6100000000000004E-2</v>
      </c>
      <c r="G31" s="67">
        <v>0</v>
      </c>
      <c r="H31" s="120">
        <v>394394</v>
      </c>
      <c r="I31" s="121" t="s">
        <v>310</v>
      </c>
      <c r="J31" s="121" t="s">
        <v>180</v>
      </c>
      <c r="K31" s="122" t="s">
        <v>303</v>
      </c>
      <c r="L31" s="121" t="s">
        <v>169</v>
      </c>
      <c r="M31" s="123" t="s">
        <v>149</v>
      </c>
      <c r="N31" s="121" t="s">
        <v>100</v>
      </c>
      <c r="O31" s="122" t="s">
        <v>101</v>
      </c>
      <c r="P31" s="124" t="s">
        <v>181</v>
      </c>
    </row>
    <row r="32" spans="1:16" ht="25.5" x14ac:dyDescent="0.25">
      <c r="A32" s="4"/>
      <c r="B32" s="115">
        <v>24</v>
      </c>
      <c r="C32" s="116" t="s">
        <v>283</v>
      </c>
      <c r="D32" s="117">
        <v>14</v>
      </c>
      <c r="E32" s="118">
        <v>6.8100000000000001E-3</v>
      </c>
      <c r="F32" s="119">
        <f>D32*E32</f>
        <v>9.5340000000000008E-2</v>
      </c>
      <c r="G32" s="67">
        <v>0</v>
      </c>
      <c r="H32" s="120">
        <v>7307571</v>
      </c>
      <c r="I32" s="121" t="s">
        <v>311</v>
      </c>
      <c r="J32" s="121" t="s">
        <v>170</v>
      </c>
      <c r="K32" s="122" t="s">
        <v>303</v>
      </c>
      <c r="L32" s="121" t="s">
        <v>169</v>
      </c>
      <c r="M32" s="123" t="s">
        <v>138</v>
      </c>
      <c r="N32" s="121" t="s">
        <v>100</v>
      </c>
      <c r="O32" s="122" t="s">
        <v>101</v>
      </c>
      <c r="P32" s="124" t="s">
        <v>171</v>
      </c>
    </row>
    <row r="33" spans="1:16" x14ac:dyDescent="0.25">
      <c r="A33" s="4"/>
      <c r="B33" s="115">
        <v>25</v>
      </c>
      <c r="C33" s="116" t="s">
        <v>146</v>
      </c>
      <c r="D33" s="117">
        <v>5</v>
      </c>
      <c r="E33" s="118">
        <v>5.8999999999999999E-3</v>
      </c>
      <c r="F33" s="119">
        <f>D33*E33</f>
        <v>2.9499999999999998E-2</v>
      </c>
      <c r="G33" s="67">
        <v>0</v>
      </c>
      <c r="H33" s="120">
        <v>632752</v>
      </c>
      <c r="I33" s="121" t="s">
        <v>312</v>
      </c>
      <c r="J33" s="121" t="s">
        <v>178</v>
      </c>
      <c r="K33" s="122" t="s">
        <v>303</v>
      </c>
      <c r="L33" s="121" t="s">
        <v>169</v>
      </c>
      <c r="M33" s="123" t="s">
        <v>147</v>
      </c>
      <c r="N33" s="121" t="s">
        <v>100</v>
      </c>
      <c r="O33" s="122" t="s">
        <v>101</v>
      </c>
      <c r="P33" s="124" t="s">
        <v>179</v>
      </c>
    </row>
    <row r="34" spans="1:16" x14ac:dyDescent="0.25">
      <c r="A34" s="4"/>
      <c r="B34" s="115">
        <v>26</v>
      </c>
      <c r="C34" s="116" t="s">
        <v>144</v>
      </c>
      <c r="D34" s="117">
        <v>1</v>
      </c>
      <c r="E34" s="118">
        <v>1.18E-2</v>
      </c>
      <c r="F34" s="119">
        <f>D34*E34</f>
        <v>1.18E-2</v>
      </c>
      <c r="G34" s="67">
        <v>0</v>
      </c>
      <c r="H34" s="120">
        <v>145080</v>
      </c>
      <c r="I34" s="121" t="s">
        <v>313</v>
      </c>
      <c r="J34" s="121" t="s">
        <v>176</v>
      </c>
      <c r="K34" s="122" t="s">
        <v>303</v>
      </c>
      <c r="L34" s="121" t="s">
        <v>169</v>
      </c>
      <c r="M34" s="123" t="s">
        <v>145</v>
      </c>
      <c r="N34" s="121" t="s">
        <v>100</v>
      </c>
      <c r="O34" s="122" t="s">
        <v>101</v>
      </c>
      <c r="P34" s="124" t="s">
        <v>177</v>
      </c>
    </row>
    <row r="35" spans="1:16" x14ac:dyDescent="0.25">
      <c r="A35" s="4"/>
      <c r="B35" s="115">
        <v>27</v>
      </c>
      <c r="C35" s="116" t="s">
        <v>142</v>
      </c>
      <c r="D35" s="117">
        <v>1</v>
      </c>
      <c r="E35" s="118">
        <v>1.32E-2</v>
      </c>
      <c r="F35" s="119">
        <f>D35*E35</f>
        <v>1.32E-2</v>
      </c>
      <c r="G35" s="67">
        <v>0</v>
      </c>
      <c r="H35" s="120">
        <v>207490</v>
      </c>
      <c r="I35" s="121" t="s">
        <v>314</v>
      </c>
      <c r="J35" s="121" t="s">
        <v>174</v>
      </c>
      <c r="K35" s="122" t="s">
        <v>303</v>
      </c>
      <c r="L35" s="121" t="s">
        <v>169</v>
      </c>
      <c r="M35" s="123" t="s">
        <v>143</v>
      </c>
      <c r="N35" s="121" t="s">
        <v>100</v>
      </c>
      <c r="O35" s="122" t="s">
        <v>101</v>
      </c>
      <c r="P35" s="124" t="s">
        <v>175</v>
      </c>
    </row>
    <row r="36" spans="1:16" x14ac:dyDescent="0.25">
      <c r="A36" s="4"/>
      <c r="B36" s="115">
        <v>28</v>
      </c>
      <c r="C36" s="116" t="s">
        <v>140</v>
      </c>
      <c r="D36" s="117">
        <v>1</v>
      </c>
      <c r="E36" s="118">
        <v>1.21E-2</v>
      </c>
      <c r="F36" s="119">
        <f>D36*E36</f>
        <v>1.21E-2</v>
      </c>
      <c r="G36" s="67">
        <v>0</v>
      </c>
      <c r="H36" s="120">
        <v>561107</v>
      </c>
      <c r="I36" s="121" t="s">
        <v>315</v>
      </c>
      <c r="J36" s="121" t="s">
        <v>172</v>
      </c>
      <c r="K36" s="122" t="s">
        <v>303</v>
      </c>
      <c r="L36" s="121" t="s">
        <v>169</v>
      </c>
      <c r="M36" s="123" t="s">
        <v>141</v>
      </c>
      <c r="N36" s="121" t="s">
        <v>100</v>
      </c>
      <c r="O36" s="122" t="s">
        <v>101</v>
      </c>
      <c r="P36" s="124" t="s">
        <v>173</v>
      </c>
    </row>
    <row r="37" spans="1:16" s="157" customFormat="1" x14ac:dyDescent="0.25">
      <c r="A37" s="4"/>
      <c r="B37" s="115">
        <v>29</v>
      </c>
      <c r="C37" s="116" t="s">
        <v>139</v>
      </c>
      <c r="D37" s="117">
        <v>1</v>
      </c>
      <c r="E37" s="118">
        <v>1.21E-2</v>
      </c>
      <c r="F37" s="119">
        <f>D37*E37</f>
        <v>1.21E-2</v>
      </c>
      <c r="G37" s="67">
        <v>0</v>
      </c>
      <c r="H37" s="120">
        <v>299855</v>
      </c>
      <c r="I37" s="121" t="s">
        <v>316</v>
      </c>
      <c r="J37" s="121" t="s">
        <v>259</v>
      </c>
      <c r="K37" s="122" t="s">
        <v>303</v>
      </c>
      <c r="L37" s="121" t="s">
        <v>169</v>
      </c>
      <c r="M37" s="123" t="s">
        <v>258</v>
      </c>
      <c r="N37" s="121" t="s">
        <v>100</v>
      </c>
      <c r="O37" s="122" t="s">
        <v>101</v>
      </c>
      <c r="P37" s="124" t="s">
        <v>220</v>
      </c>
    </row>
    <row r="38" spans="1:16" x14ac:dyDescent="0.25">
      <c r="A38" s="4"/>
      <c r="B38" s="125">
        <v>30</v>
      </c>
      <c r="C38" s="126" t="s">
        <v>119</v>
      </c>
      <c r="D38" s="127">
        <v>1</v>
      </c>
      <c r="E38" s="128">
        <v>0.2243</v>
      </c>
      <c r="F38" s="129">
        <f>D38*E38</f>
        <v>0.2243</v>
      </c>
      <c r="G38" s="67">
        <v>0</v>
      </c>
      <c r="H38" s="130">
        <v>122811</v>
      </c>
      <c r="I38" s="131" t="s">
        <v>106</v>
      </c>
      <c r="J38" s="131" t="s">
        <v>105</v>
      </c>
      <c r="K38" s="132" t="s">
        <v>104</v>
      </c>
      <c r="L38" s="131" t="s">
        <v>110</v>
      </c>
      <c r="M38" s="133" t="s">
        <v>55</v>
      </c>
      <c r="N38" s="131" t="s">
        <v>107</v>
      </c>
      <c r="O38" s="132" t="s">
        <v>108</v>
      </c>
      <c r="P38" s="134" t="s">
        <v>109</v>
      </c>
    </row>
    <row r="39" spans="1:16" x14ac:dyDescent="0.25">
      <c r="A39" s="4"/>
      <c r="B39" s="135">
        <v>31</v>
      </c>
      <c r="C39" s="136" t="s">
        <v>166</v>
      </c>
      <c r="D39" s="137">
        <v>1</v>
      </c>
      <c r="E39" s="138">
        <v>7.1000000000000004E-3</v>
      </c>
      <c r="F39" s="139">
        <f>D39*E39</f>
        <v>7.1000000000000004E-3</v>
      </c>
      <c r="G39" s="67">
        <v>0</v>
      </c>
      <c r="H39" s="140">
        <v>1176822</v>
      </c>
      <c r="I39" s="141" t="s">
        <v>215</v>
      </c>
      <c r="J39" s="141" t="s">
        <v>214</v>
      </c>
      <c r="K39" s="142" t="s">
        <v>187</v>
      </c>
      <c r="L39" s="141">
        <v>603</v>
      </c>
      <c r="M39" s="143" t="s">
        <v>167</v>
      </c>
      <c r="N39" s="141" t="s">
        <v>112</v>
      </c>
      <c r="O39" s="142" t="s">
        <v>113</v>
      </c>
      <c r="P39" s="144" t="s">
        <v>216</v>
      </c>
    </row>
    <row r="40" spans="1:16" x14ac:dyDescent="0.25">
      <c r="A40" s="4"/>
      <c r="B40" s="135">
        <v>32</v>
      </c>
      <c r="C40" s="136" t="s">
        <v>164</v>
      </c>
      <c r="D40" s="137">
        <v>1</v>
      </c>
      <c r="E40" s="138">
        <v>8.3999999999999995E-3</v>
      </c>
      <c r="F40" s="139">
        <f>D40*E40</f>
        <v>8.3999999999999995E-3</v>
      </c>
      <c r="G40" s="67">
        <v>0</v>
      </c>
      <c r="H40" s="140">
        <v>26809</v>
      </c>
      <c r="I40" s="141" t="s">
        <v>212</v>
      </c>
      <c r="J40" s="141" t="s">
        <v>211</v>
      </c>
      <c r="K40" s="142" t="s">
        <v>187</v>
      </c>
      <c r="L40" s="141">
        <v>603</v>
      </c>
      <c r="M40" s="143" t="s">
        <v>165</v>
      </c>
      <c r="N40" s="141" t="s">
        <v>112</v>
      </c>
      <c r="O40" s="142" t="s">
        <v>113</v>
      </c>
      <c r="P40" s="144" t="s">
        <v>213</v>
      </c>
    </row>
    <row r="41" spans="1:16" x14ac:dyDescent="0.25">
      <c r="A41" s="4"/>
      <c r="B41" s="135">
        <v>33</v>
      </c>
      <c r="C41" s="136" t="s">
        <v>162</v>
      </c>
      <c r="D41" s="137">
        <v>1</v>
      </c>
      <c r="E41" s="138">
        <v>0.16120000000000001</v>
      </c>
      <c r="F41" s="139">
        <f>D41*E41</f>
        <v>0.16120000000000001</v>
      </c>
      <c r="G41" s="67">
        <v>0</v>
      </c>
      <c r="H41" s="140">
        <v>117942</v>
      </c>
      <c r="I41" s="141" t="s">
        <v>210</v>
      </c>
      <c r="J41" s="141" t="s">
        <v>209</v>
      </c>
      <c r="K41" s="142" t="s">
        <v>111</v>
      </c>
      <c r="L41" s="141">
        <v>603</v>
      </c>
      <c r="M41" s="143" t="s">
        <v>163</v>
      </c>
      <c r="N41" s="141" t="s">
        <v>112</v>
      </c>
      <c r="O41" s="142" t="s">
        <v>113</v>
      </c>
      <c r="P41" s="144" t="s">
        <v>208</v>
      </c>
    </row>
    <row r="42" spans="1:16" s="157" customFormat="1" x14ac:dyDescent="0.25">
      <c r="A42" s="4"/>
      <c r="B42" s="135">
        <v>34</v>
      </c>
      <c r="C42" s="136" t="s">
        <v>275</v>
      </c>
      <c r="D42" s="137">
        <v>2</v>
      </c>
      <c r="E42" s="138">
        <v>8.3999999999999995E-3</v>
      </c>
      <c r="F42" s="139">
        <f>D42*E42</f>
        <v>1.6799999999999999E-2</v>
      </c>
      <c r="G42" s="67">
        <v>0</v>
      </c>
      <c r="H42" s="140">
        <v>135609</v>
      </c>
      <c r="I42" s="141" t="s">
        <v>207</v>
      </c>
      <c r="J42" s="141" t="s">
        <v>206</v>
      </c>
      <c r="K42" s="142" t="s">
        <v>187</v>
      </c>
      <c r="L42" s="141">
        <v>603</v>
      </c>
      <c r="M42" s="143" t="s">
        <v>161</v>
      </c>
      <c r="N42" s="141" t="s">
        <v>112</v>
      </c>
      <c r="O42" s="142" t="s">
        <v>113</v>
      </c>
      <c r="P42" s="144" t="s">
        <v>239</v>
      </c>
    </row>
    <row r="43" spans="1:16" s="157" customFormat="1" x14ac:dyDescent="0.25">
      <c r="A43" s="4"/>
      <c r="B43" s="135">
        <v>35</v>
      </c>
      <c r="C43" s="136" t="s">
        <v>290</v>
      </c>
      <c r="D43" s="137">
        <v>2</v>
      </c>
      <c r="E43" s="138">
        <v>5.7000000000000002E-3</v>
      </c>
      <c r="F43" s="139">
        <f>D43*E43</f>
        <v>1.14E-2</v>
      </c>
      <c r="G43" s="67">
        <v>0</v>
      </c>
      <c r="H43" s="140">
        <v>1048463</v>
      </c>
      <c r="I43" s="141" t="s">
        <v>204</v>
      </c>
      <c r="J43" s="141" t="s">
        <v>203</v>
      </c>
      <c r="K43" s="142" t="s">
        <v>189</v>
      </c>
      <c r="L43" s="141">
        <v>603</v>
      </c>
      <c r="M43" s="143" t="s">
        <v>160</v>
      </c>
      <c r="N43" s="141" t="s">
        <v>112</v>
      </c>
      <c r="O43" s="142" t="s">
        <v>113</v>
      </c>
      <c r="P43" s="144" t="s">
        <v>205</v>
      </c>
    </row>
    <row r="44" spans="1:16" s="157" customFormat="1" x14ac:dyDescent="0.25">
      <c r="A44" s="4"/>
      <c r="B44" s="135">
        <v>36</v>
      </c>
      <c r="C44" s="136" t="s">
        <v>274</v>
      </c>
      <c r="D44" s="137">
        <v>2</v>
      </c>
      <c r="E44" s="138">
        <v>5.7000000000000002E-3</v>
      </c>
      <c r="F44" s="139">
        <f>D44*E44</f>
        <v>1.14E-2</v>
      </c>
      <c r="G44" s="67">
        <v>0</v>
      </c>
      <c r="H44" s="140">
        <v>1043691</v>
      </c>
      <c r="I44" s="141" t="s">
        <v>201</v>
      </c>
      <c r="J44" s="141" t="s">
        <v>200</v>
      </c>
      <c r="K44" s="142" t="s">
        <v>189</v>
      </c>
      <c r="L44" s="141">
        <v>603</v>
      </c>
      <c r="M44" s="143" t="s">
        <v>159</v>
      </c>
      <c r="N44" s="141" t="s">
        <v>112</v>
      </c>
      <c r="O44" s="142" t="s">
        <v>113</v>
      </c>
      <c r="P44" s="144" t="s">
        <v>202</v>
      </c>
    </row>
    <row r="45" spans="1:16" s="157" customFormat="1" x14ac:dyDescent="0.25">
      <c r="A45" s="4"/>
      <c r="B45" s="135">
        <v>37</v>
      </c>
      <c r="C45" s="136" t="s">
        <v>249</v>
      </c>
      <c r="D45" s="137">
        <v>1</v>
      </c>
      <c r="E45" s="138">
        <v>0.19239999999999999</v>
      </c>
      <c r="F45" s="139">
        <f>D45*E45</f>
        <v>0.19239999999999999</v>
      </c>
      <c r="G45" s="67">
        <v>0</v>
      </c>
      <c r="H45" s="140">
        <v>81686</v>
      </c>
      <c r="I45" s="141" t="s">
        <v>254</v>
      </c>
      <c r="J45" s="141" t="s">
        <v>253</v>
      </c>
      <c r="K45" s="142" t="s">
        <v>187</v>
      </c>
      <c r="L45" s="141">
        <v>603</v>
      </c>
      <c r="M45" s="143" t="s">
        <v>250</v>
      </c>
      <c r="N45" s="141" t="s">
        <v>112</v>
      </c>
      <c r="O45" s="142" t="s">
        <v>113</v>
      </c>
      <c r="P45" s="144" t="s">
        <v>202</v>
      </c>
    </row>
    <row r="46" spans="1:16" s="157" customFormat="1" x14ac:dyDescent="0.25">
      <c r="A46" s="4"/>
      <c r="B46" s="135">
        <v>38</v>
      </c>
      <c r="C46" s="136" t="s">
        <v>157</v>
      </c>
      <c r="D46" s="137">
        <v>1</v>
      </c>
      <c r="E46" s="138">
        <v>0.16120000000000001</v>
      </c>
      <c r="F46" s="139">
        <f>D46*E46</f>
        <v>0.16120000000000001</v>
      </c>
      <c r="G46" s="67">
        <v>0</v>
      </c>
      <c r="H46" s="140">
        <v>353464</v>
      </c>
      <c r="I46" s="141" t="s">
        <v>199</v>
      </c>
      <c r="J46" s="141" t="s">
        <v>198</v>
      </c>
      <c r="K46" s="142" t="s">
        <v>111</v>
      </c>
      <c r="L46" s="141">
        <v>603</v>
      </c>
      <c r="M46" s="143" t="s">
        <v>158</v>
      </c>
      <c r="N46" s="141" t="s">
        <v>112</v>
      </c>
      <c r="O46" s="142" t="s">
        <v>113</v>
      </c>
      <c r="P46" s="144" t="s">
        <v>197</v>
      </c>
    </row>
    <row r="47" spans="1:16" s="157" customFormat="1" x14ac:dyDescent="0.25">
      <c r="A47" s="4"/>
      <c r="B47" s="135">
        <v>39</v>
      </c>
      <c r="C47" s="136" t="s">
        <v>289</v>
      </c>
      <c r="D47" s="137">
        <v>9</v>
      </c>
      <c r="E47" s="138">
        <v>3.48E-3</v>
      </c>
      <c r="F47" s="139">
        <f>D47*E47</f>
        <v>3.1320000000000001E-2</v>
      </c>
      <c r="G47" s="67">
        <v>0</v>
      </c>
      <c r="H47" s="140">
        <v>10884953</v>
      </c>
      <c r="I47" s="141" t="s">
        <v>196</v>
      </c>
      <c r="J47" s="141" t="s">
        <v>195</v>
      </c>
      <c r="K47" s="142" t="s">
        <v>189</v>
      </c>
      <c r="L47" s="141">
        <v>603</v>
      </c>
      <c r="M47" s="143" t="s">
        <v>156</v>
      </c>
      <c r="N47" s="141" t="s">
        <v>112</v>
      </c>
      <c r="O47" s="142" t="s">
        <v>113</v>
      </c>
      <c r="P47" s="144" t="s">
        <v>197</v>
      </c>
    </row>
    <row r="48" spans="1:16" s="157" customFormat="1" x14ac:dyDescent="0.25">
      <c r="A48" s="4"/>
      <c r="B48" s="135">
        <v>40</v>
      </c>
      <c r="C48" s="136" t="s">
        <v>282</v>
      </c>
      <c r="D48" s="137">
        <v>2</v>
      </c>
      <c r="E48" s="138">
        <v>5.7000000000000002E-3</v>
      </c>
      <c r="F48" s="139">
        <f>D48*E48</f>
        <v>1.14E-2</v>
      </c>
      <c r="G48" s="67"/>
      <c r="H48" s="140">
        <v>186024</v>
      </c>
      <c r="I48" s="141" t="s">
        <v>297</v>
      </c>
      <c r="J48" s="141" t="s">
        <v>296</v>
      </c>
      <c r="K48" s="142" t="s">
        <v>189</v>
      </c>
      <c r="L48" s="141">
        <v>603</v>
      </c>
      <c r="M48" s="143" t="s">
        <v>295</v>
      </c>
      <c r="N48" s="141" t="s">
        <v>112</v>
      </c>
      <c r="O48" s="142" t="s">
        <v>113</v>
      </c>
      <c r="P48" s="144" t="s">
        <v>298</v>
      </c>
    </row>
    <row r="49" spans="1:16" s="157" customFormat="1" x14ac:dyDescent="0.25">
      <c r="A49" s="4"/>
      <c r="B49" s="135">
        <v>41</v>
      </c>
      <c r="C49" s="136" t="s">
        <v>288</v>
      </c>
      <c r="D49" s="137">
        <v>1</v>
      </c>
      <c r="E49" s="138">
        <v>8.3999999999999995E-3</v>
      </c>
      <c r="F49" s="139">
        <f>D49*E49</f>
        <v>8.3999999999999995E-3</v>
      </c>
      <c r="G49" s="67">
        <v>0</v>
      </c>
      <c r="H49" s="140">
        <v>93154</v>
      </c>
      <c r="I49" s="141" t="s">
        <v>218</v>
      </c>
      <c r="J49" s="141" t="s">
        <v>217</v>
      </c>
      <c r="K49" s="142" t="s">
        <v>187</v>
      </c>
      <c r="L49" s="141">
        <v>603</v>
      </c>
      <c r="M49" s="143" t="s">
        <v>168</v>
      </c>
      <c r="N49" s="141" t="s">
        <v>112</v>
      </c>
      <c r="O49" s="142" t="s">
        <v>113</v>
      </c>
      <c r="P49" s="144" t="s">
        <v>219</v>
      </c>
    </row>
    <row r="50" spans="1:16" s="157" customFormat="1" x14ac:dyDescent="0.25">
      <c r="A50" s="4"/>
      <c r="B50" s="135">
        <v>42</v>
      </c>
      <c r="C50" s="136" t="s">
        <v>266</v>
      </c>
      <c r="D50" s="137">
        <v>6</v>
      </c>
      <c r="E50" s="138">
        <v>5.1399999999999996E-3</v>
      </c>
      <c r="F50" s="139">
        <f>D50*E50</f>
        <v>3.0839999999999999E-2</v>
      </c>
      <c r="G50" s="67">
        <v>0</v>
      </c>
      <c r="H50" s="140">
        <v>238457</v>
      </c>
      <c r="I50" s="141" t="s">
        <v>193</v>
      </c>
      <c r="J50" s="141" t="s">
        <v>192</v>
      </c>
      <c r="K50" s="142" t="s">
        <v>187</v>
      </c>
      <c r="L50" s="141">
        <v>603</v>
      </c>
      <c r="M50" s="143" t="s">
        <v>155</v>
      </c>
      <c r="N50" s="141" t="s">
        <v>112</v>
      </c>
      <c r="O50" s="142" t="s">
        <v>113</v>
      </c>
      <c r="P50" s="144" t="s">
        <v>194</v>
      </c>
    </row>
    <row r="51" spans="1:16" s="157" customFormat="1" x14ac:dyDescent="0.25">
      <c r="A51" s="4"/>
      <c r="B51" s="135">
        <v>43</v>
      </c>
      <c r="C51" s="136" t="s">
        <v>251</v>
      </c>
      <c r="D51" s="137">
        <v>1</v>
      </c>
      <c r="E51" s="138">
        <v>0.19239999999999999</v>
      </c>
      <c r="F51" s="139">
        <f>D51*E51</f>
        <v>0.19239999999999999</v>
      </c>
      <c r="G51" s="67">
        <v>0</v>
      </c>
      <c r="H51" s="140">
        <v>141597</v>
      </c>
      <c r="I51" s="141" t="s">
        <v>256</v>
      </c>
      <c r="J51" s="141" t="s">
        <v>255</v>
      </c>
      <c r="K51" s="142" t="s">
        <v>187</v>
      </c>
      <c r="L51" s="141">
        <v>603</v>
      </c>
      <c r="M51" s="143" t="s">
        <v>252</v>
      </c>
      <c r="N51" s="141" t="s">
        <v>112</v>
      </c>
      <c r="O51" s="142" t="s">
        <v>113</v>
      </c>
      <c r="P51" s="144" t="s">
        <v>194</v>
      </c>
    </row>
    <row r="52" spans="1:16" s="157" customFormat="1" x14ac:dyDescent="0.25">
      <c r="A52" s="4"/>
      <c r="B52" s="135">
        <v>44</v>
      </c>
      <c r="C52" s="136" t="s">
        <v>287</v>
      </c>
      <c r="D52" s="137">
        <v>1</v>
      </c>
      <c r="E52" s="138">
        <v>8.3999999999999995E-3</v>
      </c>
      <c r="F52" s="139">
        <f>D52*E52</f>
        <v>8.3999999999999995E-3</v>
      </c>
      <c r="G52" s="67"/>
      <c r="H52" s="140">
        <v>5659865</v>
      </c>
      <c r="I52" s="141" t="s">
        <v>300</v>
      </c>
      <c r="J52" s="141" t="s">
        <v>299</v>
      </c>
      <c r="K52" s="142" t="s">
        <v>187</v>
      </c>
      <c r="L52" s="141">
        <v>603</v>
      </c>
      <c r="M52" s="143" t="s">
        <v>286</v>
      </c>
      <c r="N52" s="141" t="s">
        <v>112</v>
      </c>
      <c r="O52" s="142" t="s">
        <v>113</v>
      </c>
      <c r="P52" s="144" t="s">
        <v>114</v>
      </c>
    </row>
    <row r="53" spans="1:16" s="157" customFormat="1" x14ac:dyDescent="0.25">
      <c r="A53" s="4"/>
      <c r="B53" s="135">
        <v>45</v>
      </c>
      <c r="C53" s="136" t="s">
        <v>279</v>
      </c>
      <c r="D53" s="137">
        <v>1</v>
      </c>
      <c r="E53" s="138">
        <v>0.19239999999999999</v>
      </c>
      <c r="F53" s="139">
        <f>D53*E53</f>
        <v>0.19239999999999999</v>
      </c>
      <c r="G53" s="67">
        <v>0</v>
      </c>
      <c r="H53" s="140">
        <v>136190</v>
      </c>
      <c r="I53" s="141" t="s">
        <v>261</v>
      </c>
      <c r="J53" s="141" t="s">
        <v>260</v>
      </c>
      <c r="K53" s="142" t="s">
        <v>187</v>
      </c>
      <c r="L53" s="141">
        <v>603</v>
      </c>
      <c r="M53" s="143" t="s">
        <v>257</v>
      </c>
      <c r="N53" s="141" t="s">
        <v>112</v>
      </c>
      <c r="O53" s="142" t="s">
        <v>113</v>
      </c>
      <c r="P53" s="144" t="s">
        <v>114</v>
      </c>
    </row>
    <row r="54" spans="1:16" s="157" customFormat="1" x14ac:dyDescent="0.25">
      <c r="A54" s="4"/>
      <c r="B54" s="135">
        <v>46</v>
      </c>
      <c r="C54" s="136" t="s">
        <v>278</v>
      </c>
      <c r="D54" s="137">
        <v>1</v>
      </c>
      <c r="E54" s="138">
        <v>0.25540000000000002</v>
      </c>
      <c r="F54" s="139">
        <f>D54*E54</f>
        <v>0.25540000000000002</v>
      </c>
      <c r="G54" s="67"/>
      <c r="H54" s="140">
        <v>14275</v>
      </c>
      <c r="I54" s="141" t="s">
        <v>281</v>
      </c>
      <c r="J54" s="141" t="s">
        <v>280</v>
      </c>
      <c r="K54" s="142" t="s">
        <v>111</v>
      </c>
      <c r="L54" s="141">
        <v>1206</v>
      </c>
      <c r="M54" s="143" t="s">
        <v>277</v>
      </c>
      <c r="N54" s="141" t="s">
        <v>112</v>
      </c>
      <c r="O54" s="142" t="s">
        <v>113</v>
      </c>
      <c r="P54" s="144" t="s">
        <v>114</v>
      </c>
    </row>
    <row r="55" spans="1:16" x14ac:dyDescent="0.25">
      <c r="A55" s="4"/>
      <c r="B55" s="135">
        <v>47</v>
      </c>
      <c r="C55" s="136" t="s">
        <v>120</v>
      </c>
      <c r="D55" s="137">
        <v>1</v>
      </c>
      <c r="E55" s="138">
        <v>0.61870000000000003</v>
      </c>
      <c r="F55" s="139">
        <f>D55*E55</f>
        <v>0.61870000000000003</v>
      </c>
      <c r="G55" s="67">
        <v>0</v>
      </c>
      <c r="H55" s="140">
        <v>9696</v>
      </c>
      <c r="I55" s="141" t="s">
        <v>305</v>
      </c>
      <c r="J55" s="141" t="s">
        <v>304</v>
      </c>
      <c r="K55" s="142" t="s">
        <v>111</v>
      </c>
      <c r="L55" s="141">
        <v>1206</v>
      </c>
      <c r="M55" s="143" t="s">
        <v>301</v>
      </c>
      <c r="N55" s="141" t="s">
        <v>112</v>
      </c>
      <c r="O55" s="142" t="s">
        <v>113</v>
      </c>
      <c r="P55" s="144">
        <v>470</v>
      </c>
    </row>
    <row r="56" spans="1:16" x14ac:dyDescent="0.25">
      <c r="A56" s="4"/>
      <c r="B56" s="135">
        <v>48</v>
      </c>
      <c r="C56" s="136" t="s">
        <v>247</v>
      </c>
      <c r="D56" s="137">
        <v>3</v>
      </c>
      <c r="E56" s="138">
        <v>4.3600000000000002E-3</v>
      </c>
      <c r="F56" s="139">
        <f>D56*E56</f>
        <v>1.3080000000000001E-2</v>
      </c>
      <c r="G56" s="67">
        <v>0</v>
      </c>
      <c r="H56" s="140">
        <v>2031519</v>
      </c>
      <c r="I56" s="141" t="s">
        <v>191</v>
      </c>
      <c r="J56" s="141" t="s">
        <v>190</v>
      </c>
      <c r="K56" s="142" t="s">
        <v>189</v>
      </c>
      <c r="L56" s="141">
        <v>603</v>
      </c>
      <c r="M56" s="143" t="s">
        <v>154</v>
      </c>
      <c r="N56" s="141" t="s">
        <v>112</v>
      </c>
      <c r="O56" s="142" t="s">
        <v>113</v>
      </c>
      <c r="P56" s="144">
        <v>100</v>
      </c>
    </row>
    <row r="57" spans="1:16" x14ac:dyDescent="0.25">
      <c r="A57" s="4"/>
      <c r="B57" s="135">
        <v>49</v>
      </c>
      <c r="C57" s="136" t="s">
        <v>152</v>
      </c>
      <c r="D57" s="137">
        <v>1</v>
      </c>
      <c r="E57" s="138">
        <v>9.5999999999999992E-3</v>
      </c>
      <c r="F57" s="139">
        <f>D57*E57</f>
        <v>9.5999999999999992E-3</v>
      </c>
      <c r="G57" s="67">
        <v>0</v>
      </c>
      <c r="H57" s="140">
        <v>8523170</v>
      </c>
      <c r="I57" s="141" t="s">
        <v>306</v>
      </c>
      <c r="J57" s="141" t="s">
        <v>188</v>
      </c>
      <c r="K57" s="142" t="s">
        <v>187</v>
      </c>
      <c r="L57" s="141">
        <v>603</v>
      </c>
      <c r="M57" s="143" t="s">
        <v>153</v>
      </c>
      <c r="N57" s="141" t="s">
        <v>112</v>
      </c>
      <c r="O57" s="142" t="s">
        <v>113</v>
      </c>
      <c r="P57" s="144">
        <v>0</v>
      </c>
    </row>
    <row r="58" spans="1:16" x14ac:dyDescent="0.25">
      <c r="A58" s="4"/>
      <c r="B58" s="154">
        <v>50</v>
      </c>
      <c r="C58" s="156" t="s">
        <v>150</v>
      </c>
      <c r="D58" s="148">
        <v>1</v>
      </c>
      <c r="E58" s="152">
        <v>4.7199999999999999E-2</v>
      </c>
      <c r="F58" s="155">
        <f>D58*E58</f>
        <v>4.7199999999999999E-2</v>
      </c>
      <c r="G58" s="67">
        <v>0</v>
      </c>
      <c r="H58" s="147">
        <v>607973</v>
      </c>
      <c r="I58" s="150" t="s">
        <v>184</v>
      </c>
      <c r="J58" s="150" t="s">
        <v>183</v>
      </c>
      <c r="K58" s="153" t="s">
        <v>182</v>
      </c>
      <c r="L58" s="150" t="s">
        <v>169</v>
      </c>
      <c r="M58" s="151" t="s">
        <v>151</v>
      </c>
      <c r="N58" s="150" t="s">
        <v>185</v>
      </c>
      <c r="O58" s="153" t="s">
        <v>186</v>
      </c>
      <c r="P58" s="149"/>
    </row>
    <row r="59" spans="1:16" s="157" customFormat="1" x14ac:dyDescent="0.25">
      <c r="A59" s="4"/>
      <c r="B59" s="154"/>
      <c r="C59" s="156" t="s">
        <v>242</v>
      </c>
      <c r="D59" s="148">
        <v>1</v>
      </c>
      <c r="E59" s="152"/>
      <c r="F59" s="155"/>
      <c r="G59" s="67"/>
      <c r="H59" s="147"/>
      <c r="I59" s="150" t="s">
        <v>243</v>
      </c>
      <c r="J59" s="150"/>
      <c r="K59" s="153"/>
      <c r="L59" s="150"/>
      <c r="M59" s="151"/>
      <c r="N59" s="150"/>
      <c r="O59" s="153"/>
      <c r="P59" s="149"/>
    </row>
    <row r="60" spans="1:16" s="157" customFormat="1" x14ac:dyDescent="0.25">
      <c r="A60" s="4"/>
      <c r="B60" s="154"/>
      <c r="C60" s="156" t="s">
        <v>245</v>
      </c>
      <c r="D60" s="148">
        <v>1</v>
      </c>
      <c r="E60" s="152"/>
      <c r="F60" s="155"/>
      <c r="G60" s="67"/>
      <c r="H60" s="147"/>
      <c r="I60" s="150" t="s">
        <v>246</v>
      </c>
      <c r="J60" s="150"/>
      <c r="K60" s="153"/>
      <c r="L60" s="150"/>
      <c r="M60" s="151"/>
      <c r="N60" s="150"/>
      <c r="O60" s="153"/>
      <c r="P60" s="149"/>
    </row>
    <row r="61" spans="1:16" s="157" customFormat="1" x14ac:dyDescent="0.25">
      <c r="A61" s="4"/>
      <c r="B61" s="154"/>
      <c r="C61" s="156" t="s">
        <v>263</v>
      </c>
      <c r="D61" s="148"/>
      <c r="E61" s="152"/>
      <c r="F61" s="155"/>
      <c r="G61" s="67"/>
      <c r="H61" s="147"/>
      <c r="I61" s="150" t="s">
        <v>264</v>
      </c>
      <c r="J61" s="150"/>
      <c r="K61" s="153"/>
      <c r="L61" s="150"/>
      <c r="M61" s="151"/>
      <c r="N61" s="150"/>
      <c r="O61" s="153"/>
      <c r="P61" s="149"/>
    </row>
    <row r="62" spans="1:16" x14ac:dyDescent="0.25">
      <c r="A62" s="4"/>
      <c r="B62" s="41"/>
      <c r="C62" s="42"/>
      <c r="D62" s="43"/>
      <c r="E62" s="44"/>
      <c r="F62" s="45"/>
      <c r="G62" s="45"/>
      <c r="H62" s="46"/>
      <c r="I62" s="47"/>
      <c r="J62" s="47"/>
      <c r="K62" s="48"/>
      <c r="L62" s="47"/>
      <c r="M62" s="49"/>
      <c r="N62" s="47"/>
      <c r="O62" s="48"/>
      <c r="P62" s="50"/>
    </row>
    <row r="63" spans="1:16" ht="15.75" thickBot="1" x14ac:dyDescent="0.3">
      <c r="A63" s="4"/>
      <c r="B63" s="13"/>
      <c r="C63" s="28" t="s">
        <v>15</v>
      </c>
      <c r="D63" s="29">
        <f>SUM(D9:D62)</f>
        <v>108</v>
      </c>
      <c r="E63" s="30"/>
      <c r="F63" s="31">
        <f>SUM(F9:F62)</f>
        <v>42.05436000000001</v>
      </c>
      <c r="G63" s="14"/>
      <c r="H63" s="6"/>
      <c r="I63" s="5"/>
      <c r="J63" s="5"/>
      <c r="K63" s="5"/>
      <c r="L63" s="5"/>
      <c r="M63" s="18"/>
      <c r="N63" s="19"/>
      <c r="O63" s="19"/>
      <c r="P63" s="20"/>
    </row>
    <row r="64" spans="1:16" x14ac:dyDescent="0.25">
      <c r="A64" s="4"/>
      <c r="B64" s="9"/>
      <c r="C64" s="17" t="s">
        <v>16</v>
      </c>
      <c r="D64" s="32"/>
      <c r="E64" s="32"/>
      <c r="F64" s="33">
        <v>53.907000000000018</v>
      </c>
      <c r="G64" s="15"/>
      <c r="H64" s="10"/>
      <c r="I64" s="11"/>
      <c r="J64" s="11"/>
      <c r="K64" s="11"/>
      <c r="L64" s="11"/>
      <c r="M64" s="12"/>
      <c r="N64" s="39"/>
      <c r="O64" s="39"/>
      <c r="P64" s="39"/>
    </row>
    <row r="65" spans="1:16" x14ac:dyDescent="0.25">
      <c r="A65" s="3"/>
      <c r="B65" s="3"/>
      <c r="C65" s="16" t="s">
        <v>10</v>
      </c>
      <c r="D65" s="34"/>
      <c r="E65" s="34"/>
      <c r="F65" s="35">
        <v>42.05436000000001</v>
      </c>
      <c r="G65" s="40"/>
      <c r="H65" s="38" t="s">
        <v>273</v>
      </c>
      <c r="I65" s="38"/>
      <c r="J65" s="38"/>
      <c r="K65" s="38"/>
      <c r="L65" s="39"/>
      <c r="M65" s="39"/>
      <c r="N65" s="39"/>
      <c r="O65" s="39"/>
      <c r="P65" s="39"/>
    </row>
    <row r="66" spans="1:16" x14ac:dyDescent="0.25">
      <c r="A66" s="3"/>
      <c r="B66" s="3"/>
      <c r="C66" s="7" t="s">
        <v>14</v>
      </c>
      <c r="D66" s="34"/>
      <c r="E66" s="34"/>
      <c r="F66" s="35">
        <v>32.50571999999999</v>
      </c>
      <c r="G66" s="40"/>
      <c r="H66" s="38" t="s">
        <v>276</v>
      </c>
      <c r="I66" s="38"/>
      <c r="J66" s="38"/>
      <c r="K66" s="38"/>
      <c r="L66" s="39"/>
      <c r="M66" s="39"/>
      <c r="N66" s="39"/>
      <c r="O66" s="39"/>
      <c r="P66" s="39"/>
    </row>
    <row r="67" spans="1:16" x14ac:dyDescent="0.25">
      <c r="C67" s="7" t="s">
        <v>13</v>
      </c>
      <c r="D67" s="34"/>
      <c r="E67" s="34"/>
      <c r="F67" s="35">
        <v>30.76193</v>
      </c>
      <c r="G67" s="40"/>
      <c r="H67" s="39"/>
      <c r="I67" s="39"/>
      <c r="J67" s="38"/>
      <c r="K67" s="39"/>
      <c r="L67" s="39"/>
      <c r="M67" s="39"/>
      <c r="N67" s="39"/>
      <c r="O67" s="39"/>
      <c r="P67" s="39"/>
    </row>
    <row r="68" spans="1:16" ht="15.75" thickBot="1" x14ac:dyDescent="0.3">
      <c r="B68" t="s">
        <v>11</v>
      </c>
      <c r="C68" s="8" t="s">
        <v>12</v>
      </c>
      <c r="D68" s="36"/>
      <c r="E68" s="36"/>
      <c r="F68" s="37">
        <v>30.76193</v>
      </c>
      <c r="G68" s="40"/>
      <c r="H68" s="39"/>
      <c r="I68" s="39"/>
      <c r="J68" s="38"/>
      <c r="K68" s="39"/>
      <c r="L68" s="39"/>
      <c r="M68" s="39"/>
      <c r="N68" s="39"/>
      <c r="O68" s="39"/>
      <c r="P68" s="39"/>
    </row>
    <row r="69" spans="1:16" x14ac:dyDescent="0.25">
      <c r="J69" s="3"/>
    </row>
    <row r="70" spans="1:16" x14ac:dyDescent="0.25">
      <c r="J70" s="3"/>
    </row>
  </sheetData>
  <mergeCells count="1">
    <mergeCell ref="B2:M2"/>
  </mergeCells>
  <hyperlinks>
    <hyperlink ref="M9" r:id="rId1"/>
    <hyperlink ref="M10" r:id="rId2"/>
    <hyperlink ref="M11" r:id="rId3"/>
    <hyperlink ref="M12" r:id="rId4"/>
    <hyperlink ref="M13" r:id="rId5"/>
    <hyperlink ref="M14" r:id="rId6"/>
    <hyperlink ref="M15" r:id="rId7"/>
    <hyperlink ref="M16" r:id="rId8"/>
    <hyperlink ref="M20" r:id="rId9"/>
    <hyperlink ref="M21" r:id="rId10"/>
    <hyperlink ref="M22" r:id="rId11"/>
    <hyperlink ref="M23" r:id="rId12"/>
    <hyperlink ref="M25" r:id="rId13"/>
    <hyperlink ref="M26" r:id="rId14"/>
    <hyperlink ref="M28" r:id="rId15"/>
    <hyperlink ref="M29" r:id="rId16"/>
    <hyperlink ref="M19" r:id="rId17"/>
    <hyperlink ref="M30" r:id="rId18"/>
    <hyperlink ref="M31" r:id="rId19"/>
    <hyperlink ref="M32" r:id="rId20"/>
    <hyperlink ref="M33" r:id="rId21"/>
    <hyperlink ref="M34" r:id="rId22"/>
    <hyperlink ref="M39" r:id="rId23"/>
    <hyperlink ref="M40" r:id="rId24"/>
    <hyperlink ref="M41" r:id="rId25"/>
    <hyperlink ref="M42" r:id="rId26"/>
    <hyperlink ref="M43" r:id="rId27"/>
    <hyperlink ref="M45" r:id="rId28"/>
    <hyperlink ref="M46" r:id="rId29"/>
    <hyperlink ref="M47" r:id="rId30"/>
    <hyperlink ref="M49" r:id="rId31"/>
    <hyperlink ref="M53" r:id="rId32"/>
    <hyperlink ref="M55" r:id="rId33"/>
    <hyperlink ref="M56" r:id="rId34"/>
    <hyperlink ref="M57" r:id="rId35"/>
    <hyperlink ref="M58" r:id="rId36"/>
    <hyperlink ref="M35" r:id="rId37"/>
    <hyperlink ref="M36" r:id="rId38"/>
    <hyperlink ref="M38" r:id="rId39"/>
    <hyperlink ref="M51" r:id="rId40"/>
    <hyperlink ref="M24" r:id="rId41"/>
    <hyperlink ref="M37" r:id="rId42"/>
    <hyperlink ref="M27" r:id="rId43"/>
    <hyperlink ref="M44" r:id="rId44"/>
    <hyperlink ref="M50" r:id="rId45"/>
    <hyperlink ref="M17" r:id="rId46"/>
    <hyperlink ref="M54" r:id="rId47"/>
    <hyperlink ref="M18" r:id="rId48"/>
    <hyperlink ref="M52" r:id="rId49"/>
    <hyperlink ref="M48" r:id="rId50"/>
  </hyperlinks>
  <pageMargins left="0.7" right="0.7" top="0.75" bottom="0.75" header="0.3" footer="0.3"/>
  <pageSetup paperSize="9" scale="49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4" name="Button 1">
              <controlPr defaultSize="0" print="0" autoFill="0" autoPict="0" macro="[0]!fetch_data">
                <anchor moveWithCells="1" sizeWithCells="1">
                  <from>
                    <xdr:col>2</xdr:col>
                    <xdr:colOff>314325</xdr:colOff>
                    <xdr:row>2</xdr:row>
                    <xdr:rowOff>114300</xdr:rowOff>
                  </from>
                  <to>
                    <xdr:col>5</xdr:col>
                    <xdr:colOff>542925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5" name="Button 3">
              <controlPr defaultSize="0" print="0" autoFill="0" autoPict="0" macro="[0]!stock_operation">
                <anchor moveWithCells="1" sizeWithCells="1">
                  <from>
                    <xdr:col>7</xdr:col>
                    <xdr:colOff>685800</xdr:colOff>
                    <xdr:row>2</xdr:row>
                    <xdr:rowOff>95250</xdr:rowOff>
                  </from>
                  <to>
                    <xdr:col>9</xdr:col>
                    <xdr:colOff>352425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6" name="Button 4">
              <controlPr defaultSize="0" print="0" autoFill="0" autoPict="0" macro="[0]!open_stock">
                <anchor moveWithCells="1" sizeWithCells="1">
                  <from>
                    <xdr:col>11</xdr:col>
                    <xdr:colOff>1095375</xdr:colOff>
                    <xdr:row>2</xdr:row>
                    <xdr:rowOff>95250</xdr:rowOff>
                  </from>
                  <to>
                    <xdr:col>12</xdr:col>
                    <xdr:colOff>2124075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7" name="Button 5">
              <controlPr defaultSize="0" print="0" autoFill="0" autoPict="0" macro="[0]!stock_take">
                <anchor moveWithCells="1" sizeWithCells="1">
                  <from>
                    <xdr:col>10</xdr:col>
                    <xdr:colOff>1038225</xdr:colOff>
                    <xdr:row>2</xdr:row>
                    <xdr:rowOff>95250</xdr:rowOff>
                  </from>
                  <to>
                    <xdr:col>11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8" name="Button 6">
              <controlPr defaultSize="0" print="0" autoFill="0" autoPict="0" macro="[0]!_xludf.Sort">
                <anchor moveWithCells="1" sizeWithCells="1">
                  <from>
                    <xdr:col>5</xdr:col>
                    <xdr:colOff>685800</xdr:colOff>
                    <xdr:row>2</xdr:row>
                    <xdr:rowOff>104775</xdr:rowOff>
                  </from>
                  <to>
                    <xdr:col>7</xdr:col>
                    <xdr:colOff>571500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9" name="Button 7">
              <controlPr defaultSize="0" print="0" autoFill="0" autoPict="0" macro="[0]!random_sort">
                <anchor moveWithCells="1" sizeWithCells="1">
                  <from>
                    <xdr:col>12</xdr:col>
                    <xdr:colOff>2371725</xdr:colOff>
                    <xdr:row>2</xdr:row>
                    <xdr:rowOff>95250</xdr:rowOff>
                  </from>
                  <to>
                    <xdr:col>12</xdr:col>
                    <xdr:colOff>3971925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0" name="Button 8">
              <controlPr defaultSize="0" print="0" autoFill="0" autoPict="0" macro="[0]!kicad_check">
                <anchor moveWithCells="1" sizeWithCells="1">
                  <from>
                    <xdr:col>9</xdr:col>
                    <xdr:colOff>552450</xdr:colOff>
                    <xdr:row>2</xdr:row>
                    <xdr:rowOff>85725</xdr:rowOff>
                  </from>
                  <to>
                    <xdr:col>10</xdr:col>
                    <xdr:colOff>838200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703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703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2015-10-29T11:26:23Z</dcterms:modified>
</cp:coreProperties>
</file>